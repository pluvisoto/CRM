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ulo\Desktop\"/>
    </mc:Choice>
  </mc:AlternateContent>
  <xr:revisionPtr revIDLastSave="0" documentId="13_ncr:1_{9547E545-C1B3-4DE6-9DC3-CD55E8B8A6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" sheetId="1" r:id="rId1"/>
    <sheet name="2027" sheetId="2" r:id="rId2"/>
    <sheet name="2028" sheetId="3" r:id="rId3"/>
    <sheet name="2029" sheetId="4" r:id="rId4"/>
    <sheet name="2030" sheetId="5" r:id="rId5"/>
    <sheet name="Total" sheetId="6" r:id="rId6"/>
    <sheet name="Dados" sheetId="7" state="hidden" r:id="rId7"/>
    <sheet name="Simulador Tributario" sheetId="8" state="hidden" r:id="rId8"/>
    <sheet name="Valores - Balanço Patrimonial" sheetId="9" state="hidden" r:id="rId9"/>
    <sheet name="Valores - Fluxo de caixa" sheetId="10" state="hidden" r:id="rId10"/>
    <sheet name="Valores - Empatar" sheetId="11" state="hidden" r:id="rId11"/>
    <sheet name="Valores - Análise de Razão" sheetId="12" state="hidden" r:id="rId12"/>
    <sheet name="Valores - Financiamento" sheetId="13" state="hidden" r:id="rId13"/>
    <sheet name="Valores - Ativos" sheetId="14" state="hidden" r:id="rId14"/>
    <sheet name="Valores - Dividendo" sheetId="15" state="hidden" r:id="rId15"/>
    <sheet name="Valores - Contas a receber" sheetId="16" state="hidden" r:id="rId16"/>
    <sheet name="Valores - Contas a pagar" sheetId="17" state="hidden" r:id="rId17"/>
    <sheet name="Valores - Imposto de Renda" sheetId="18" state="hidden" r:id="rId18"/>
    <sheet name="Valores - Sales Tax" sheetId="19" state="hidden" r:id="rId19"/>
    <sheet name="Valores - Inventário" sheetId="20" state="hidden" r:id="rId20"/>
    <sheet name="Valores - Capital de giro" sheetId="21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5" roundtripDataChecksum="/e8PtDjf02pTExtmaThhcEhqYdaxmVdnwJInMpJM/5M="/>
    </ext>
  </extLst>
</workbook>
</file>

<file path=xl/calcChain.xml><?xml version="1.0" encoding="utf-8"?>
<calcChain xmlns="http://schemas.openxmlformats.org/spreadsheetml/2006/main">
  <c r="N42" i="1" l="1"/>
  <c r="O12" i="1"/>
  <c r="Q85" i="8"/>
  <c r="R85" i="8" s="1"/>
  <c r="P85" i="8"/>
  <c r="N85" i="8"/>
  <c r="G85" i="8"/>
  <c r="F85" i="8"/>
  <c r="H85" i="8" s="1"/>
  <c r="I85" i="8" s="1"/>
  <c r="J85" i="8" s="1"/>
  <c r="K85" i="8" s="1"/>
  <c r="L85" i="8" s="1"/>
  <c r="E85" i="8"/>
  <c r="Q84" i="8"/>
  <c r="R84" i="8" s="1"/>
  <c r="O84" i="8"/>
  <c r="N84" i="8"/>
  <c r="M84" i="8"/>
  <c r="G84" i="8"/>
  <c r="F84" i="8"/>
  <c r="E84" i="8"/>
  <c r="Q83" i="8"/>
  <c r="R83" i="8" s="1"/>
  <c r="O83" i="8"/>
  <c r="N83" i="8"/>
  <c r="M83" i="8" s="1"/>
  <c r="H83" i="8"/>
  <c r="I83" i="8" s="1"/>
  <c r="J83" i="8" s="1"/>
  <c r="K83" i="8" s="1"/>
  <c r="L83" i="8" s="1"/>
  <c r="G83" i="8"/>
  <c r="F83" i="8"/>
  <c r="E83" i="8"/>
  <c r="Q82" i="8"/>
  <c r="R82" i="8" s="1"/>
  <c r="N82" i="8"/>
  <c r="O82" i="8" s="1"/>
  <c r="S82" i="8" s="1"/>
  <c r="K82" i="8"/>
  <c r="L82" i="8" s="1"/>
  <c r="G82" i="8"/>
  <c r="H82" i="8" s="1"/>
  <c r="I82" i="8" s="1"/>
  <c r="J82" i="8" s="1"/>
  <c r="F82" i="8"/>
  <c r="E82" i="8"/>
  <c r="R81" i="8"/>
  <c r="Q81" i="8"/>
  <c r="P81" i="8"/>
  <c r="N81" i="8"/>
  <c r="O81" i="8" s="1"/>
  <c r="G81" i="8"/>
  <c r="F81" i="8"/>
  <c r="H81" i="8" s="1"/>
  <c r="I81" i="8" s="1"/>
  <c r="J81" i="8" s="1"/>
  <c r="K81" i="8" s="1"/>
  <c r="L81" i="8" s="1"/>
  <c r="S81" i="8" s="1"/>
  <c r="E81" i="8"/>
  <c r="N80" i="8"/>
  <c r="O80" i="8" s="1"/>
  <c r="G80" i="8"/>
  <c r="F80" i="8"/>
  <c r="H80" i="8" s="1"/>
  <c r="I80" i="8" s="1"/>
  <c r="J80" i="8" s="1"/>
  <c r="K80" i="8" s="1"/>
  <c r="L80" i="8" s="1"/>
  <c r="E80" i="8"/>
  <c r="Q80" i="8" s="1"/>
  <c r="Q79" i="8"/>
  <c r="R79" i="8" s="1"/>
  <c r="O79" i="8"/>
  <c r="N79" i="8"/>
  <c r="M79" i="8"/>
  <c r="J79" i="8"/>
  <c r="K79" i="8" s="1"/>
  <c r="L79" i="8" s="1"/>
  <c r="H79" i="8"/>
  <c r="I79" i="8" s="1"/>
  <c r="G79" i="8"/>
  <c r="F79" i="8"/>
  <c r="E79" i="8"/>
  <c r="Q78" i="8"/>
  <c r="R78" i="8" s="1"/>
  <c r="N78" i="8"/>
  <c r="O78" i="8" s="1"/>
  <c r="G78" i="8"/>
  <c r="F78" i="8"/>
  <c r="H78" i="8" s="1"/>
  <c r="I78" i="8" s="1"/>
  <c r="J78" i="8" s="1"/>
  <c r="K78" i="8" s="1"/>
  <c r="L78" i="8" s="1"/>
  <c r="E78" i="8"/>
  <c r="R77" i="8"/>
  <c r="P77" i="8"/>
  <c r="O77" i="8"/>
  <c r="N77" i="8"/>
  <c r="M77" i="8"/>
  <c r="H77" i="8"/>
  <c r="I77" i="8" s="1"/>
  <c r="J77" i="8" s="1"/>
  <c r="K77" i="8" s="1"/>
  <c r="L77" i="8" s="1"/>
  <c r="S77" i="8" s="1"/>
  <c r="G77" i="8"/>
  <c r="F77" i="8"/>
  <c r="E77" i="8"/>
  <c r="Q77" i="8" s="1"/>
  <c r="Q76" i="8"/>
  <c r="O76" i="8"/>
  <c r="N76" i="8"/>
  <c r="M76" i="8"/>
  <c r="I76" i="8"/>
  <c r="J76" i="8" s="1"/>
  <c r="K76" i="8" s="1"/>
  <c r="L76" i="8" s="1"/>
  <c r="H76" i="8"/>
  <c r="G76" i="8"/>
  <c r="F76" i="8"/>
  <c r="E76" i="8"/>
  <c r="Q75" i="8"/>
  <c r="R75" i="8" s="1"/>
  <c r="P75" i="8"/>
  <c r="N75" i="8"/>
  <c r="O75" i="8" s="1"/>
  <c r="G75" i="8"/>
  <c r="F75" i="8"/>
  <c r="H75" i="8" s="1"/>
  <c r="I75" i="8" s="1"/>
  <c r="J75" i="8" s="1"/>
  <c r="K75" i="8" s="1"/>
  <c r="L75" i="8" s="1"/>
  <c r="S75" i="8" s="1"/>
  <c r="E75" i="8"/>
  <c r="O74" i="8"/>
  <c r="N74" i="8"/>
  <c r="M74" i="8"/>
  <c r="G74" i="8"/>
  <c r="F74" i="8"/>
  <c r="H74" i="8" s="1"/>
  <c r="I74" i="8" s="1"/>
  <c r="J74" i="8" s="1"/>
  <c r="K74" i="8" s="1"/>
  <c r="L74" i="8" s="1"/>
  <c r="E74" i="8"/>
  <c r="Q74" i="8" s="1"/>
  <c r="R73" i="8"/>
  <c r="N73" i="8"/>
  <c r="G73" i="8"/>
  <c r="F73" i="8"/>
  <c r="H73" i="8" s="1"/>
  <c r="I73" i="8" s="1"/>
  <c r="J73" i="8" s="1"/>
  <c r="K73" i="8" s="1"/>
  <c r="L73" i="8" s="1"/>
  <c r="E73" i="8"/>
  <c r="Q73" i="8" s="1"/>
  <c r="P73" i="8" s="1"/>
  <c r="N72" i="8"/>
  <c r="O72" i="8" s="1"/>
  <c r="M72" i="8"/>
  <c r="H72" i="8"/>
  <c r="I72" i="8" s="1"/>
  <c r="J72" i="8" s="1"/>
  <c r="K72" i="8" s="1"/>
  <c r="L72" i="8" s="1"/>
  <c r="G72" i="8"/>
  <c r="F72" i="8"/>
  <c r="E72" i="8"/>
  <c r="Q72" i="8" s="1"/>
  <c r="O71" i="8"/>
  <c r="N71" i="8"/>
  <c r="M71" i="8"/>
  <c r="G71" i="8"/>
  <c r="F71" i="8"/>
  <c r="H71" i="8" s="1"/>
  <c r="I71" i="8" s="1"/>
  <c r="J71" i="8" s="1"/>
  <c r="K71" i="8" s="1"/>
  <c r="L71" i="8" s="1"/>
  <c r="E71" i="8"/>
  <c r="Q71" i="8" s="1"/>
  <c r="R71" i="8" s="1"/>
  <c r="R70" i="8"/>
  <c r="Q70" i="8"/>
  <c r="P70" i="8" s="1"/>
  <c r="O70" i="8"/>
  <c r="N70" i="8"/>
  <c r="M70" i="8" s="1"/>
  <c r="G70" i="8"/>
  <c r="F70" i="8"/>
  <c r="H70" i="8" s="1"/>
  <c r="I70" i="8" s="1"/>
  <c r="J70" i="8" s="1"/>
  <c r="K70" i="8" s="1"/>
  <c r="L70" i="8" s="1"/>
  <c r="S70" i="8" s="1"/>
  <c r="E70" i="8"/>
  <c r="N69" i="8"/>
  <c r="H69" i="8"/>
  <c r="I69" i="8" s="1"/>
  <c r="J69" i="8" s="1"/>
  <c r="K69" i="8" s="1"/>
  <c r="L69" i="8" s="1"/>
  <c r="G69" i="8"/>
  <c r="F69" i="8"/>
  <c r="E69" i="8"/>
  <c r="Q69" i="8" s="1"/>
  <c r="O68" i="8"/>
  <c r="N68" i="8"/>
  <c r="M68" i="8"/>
  <c r="G68" i="8"/>
  <c r="F68" i="8"/>
  <c r="H68" i="8" s="1"/>
  <c r="I68" i="8" s="1"/>
  <c r="J68" i="8" s="1"/>
  <c r="K68" i="8" s="1"/>
  <c r="L68" i="8" s="1"/>
  <c r="E68" i="8"/>
  <c r="Q68" i="8" s="1"/>
  <c r="N67" i="8"/>
  <c r="M67" i="8" s="1"/>
  <c r="G67" i="8"/>
  <c r="F67" i="8"/>
  <c r="H67" i="8" s="1"/>
  <c r="I67" i="8" s="1"/>
  <c r="J67" i="8" s="1"/>
  <c r="K67" i="8" s="1"/>
  <c r="L67" i="8" s="1"/>
  <c r="E67" i="8"/>
  <c r="Q67" i="8" s="1"/>
  <c r="Q66" i="8"/>
  <c r="R66" i="8" s="1"/>
  <c r="O66" i="8"/>
  <c r="N66" i="8"/>
  <c r="M66" i="8" s="1"/>
  <c r="G66" i="8"/>
  <c r="H66" i="8" s="1"/>
  <c r="I66" i="8" s="1"/>
  <c r="J66" i="8" s="1"/>
  <c r="K66" i="8" s="1"/>
  <c r="L66" i="8" s="1"/>
  <c r="F66" i="8"/>
  <c r="E66" i="8"/>
  <c r="Q65" i="8"/>
  <c r="R65" i="8" s="1"/>
  <c r="N65" i="8"/>
  <c r="O65" i="8" s="1"/>
  <c r="M65" i="8"/>
  <c r="G65" i="8"/>
  <c r="F65" i="8"/>
  <c r="E65" i="8"/>
  <c r="N64" i="8"/>
  <c r="O64" i="8" s="1"/>
  <c r="M64" i="8"/>
  <c r="I64" i="8"/>
  <c r="J64" i="8" s="1"/>
  <c r="K64" i="8" s="1"/>
  <c r="L64" i="8" s="1"/>
  <c r="G64" i="8"/>
  <c r="F64" i="8"/>
  <c r="H64" i="8" s="1"/>
  <c r="E64" i="8"/>
  <c r="Q64" i="8" s="1"/>
  <c r="N63" i="8"/>
  <c r="O63" i="8" s="1"/>
  <c r="H63" i="8"/>
  <c r="I63" i="8" s="1"/>
  <c r="J63" i="8" s="1"/>
  <c r="K63" i="8" s="1"/>
  <c r="L63" i="8" s="1"/>
  <c r="G63" i="8"/>
  <c r="F63" i="8"/>
  <c r="E63" i="8"/>
  <c r="Q63" i="8" s="1"/>
  <c r="Q62" i="8"/>
  <c r="R62" i="8" s="1"/>
  <c r="P62" i="8"/>
  <c r="O62" i="8"/>
  <c r="N62" i="8"/>
  <c r="M62" i="8"/>
  <c r="I62" i="8"/>
  <c r="J62" i="8" s="1"/>
  <c r="K62" i="8" s="1"/>
  <c r="L62" i="8" s="1"/>
  <c r="S62" i="8" s="1"/>
  <c r="G62" i="8"/>
  <c r="F62" i="8"/>
  <c r="H62" i="8" s="1"/>
  <c r="E62" i="8"/>
  <c r="R61" i="8"/>
  <c r="P61" i="8"/>
  <c r="O61" i="8"/>
  <c r="N61" i="8"/>
  <c r="M61" i="8"/>
  <c r="H61" i="8"/>
  <c r="I61" i="8" s="1"/>
  <c r="J61" i="8" s="1"/>
  <c r="K61" i="8" s="1"/>
  <c r="L61" i="8" s="1"/>
  <c r="S61" i="8" s="1"/>
  <c r="G61" i="8"/>
  <c r="F61" i="8"/>
  <c r="E61" i="8"/>
  <c r="Q61" i="8" s="1"/>
  <c r="Q60" i="8"/>
  <c r="P60" i="8" s="1"/>
  <c r="O60" i="8"/>
  <c r="N60" i="8"/>
  <c r="M60" i="8"/>
  <c r="G60" i="8"/>
  <c r="H60" i="8" s="1"/>
  <c r="I60" i="8" s="1"/>
  <c r="J60" i="8" s="1"/>
  <c r="K60" i="8" s="1"/>
  <c r="L60" i="8" s="1"/>
  <c r="F60" i="8"/>
  <c r="E60" i="8"/>
  <c r="Q59" i="8"/>
  <c r="R59" i="8" s="1"/>
  <c r="P59" i="8"/>
  <c r="N59" i="8"/>
  <c r="O59" i="8" s="1"/>
  <c r="M59" i="8"/>
  <c r="H59" i="8"/>
  <c r="I59" i="8" s="1"/>
  <c r="J59" i="8" s="1"/>
  <c r="K59" i="8" s="1"/>
  <c r="L59" i="8" s="1"/>
  <c r="S59" i="8" s="1"/>
  <c r="G59" i="8"/>
  <c r="F59" i="8"/>
  <c r="E59" i="8"/>
  <c r="O58" i="8"/>
  <c r="N58" i="8"/>
  <c r="M58" i="8"/>
  <c r="G58" i="8"/>
  <c r="F58" i="8"/>
  <c r="H58" i="8" s="1"/>
  <c r="I58" i="8" s="1"/>
  <c r="J58" i="8" s="1"/>
  <c r="K58" i="8" s="1"/>
  <c r="L58" i="8" s="1"/>
  <c r="S58" i="8" s="1"/>
  <c r="E58" i="8"/>
  <c r="Q58" i="8" s="1"/>
  <c r="R58" i="8" s="1"/>
  <c r="R57" i="8"/>
  <c r="O57" i="8"/>
  <c r="N57" i="8"/>
  <c r="M57" i="8" s="1"/>
  <c r="G57" i="8"/>
  <c r="F57" i="8"/>
  <c r="H57" i="8" s="1"/>
  <c r="I57" i="8" s="1"/>
  <c r="J57" i="8" s="1"/>
  <c r="K57" i="8" s="1"/>
  <c r="L57" i="8" s="1"/>
  <c r="S57" i="8" s="1"/>
  <c r="E57" i="8"/>
  <c r="Q57" i="8" s="1"/>
  <c r="P57" i="8" s="1"/>
  <c r="Q56" i="8"/>
  <c r="N56" i="8"/>
  <c r="O56" i="8" s="1"/>
  <c r="M56" i="8"/>
  <c r="G56" i="8"/>
  <c r="F56" i="8"/>
  <c r="H56" i="8" s="1"/>
  <c r="I56" i="8" s="1"/>
  <c r="J56" i="8" s="1"/>
  <c r="K56" i="8" s="1"/>
  <c r="L56" i="8" s="1"/>
  <c r="E56" i="8"/>
  <c r="O55" i="8"/>
  <c r="N55" i="8"/>
  <c r="M55" i="8"/>
  <c r="H55" i="8"/>
  <c r="I55" i="8" s="1"/>
  <c r="J55" i="8" s="1"/>
  <c r="K55" i="8" s="1"/>
  <c r="L55" i="8" s="1"/>
  <c r="G55" i="8"/>
  <c r="F55" i="8"/>
  <c r="E55" i="8"/>
  <c r="Q55" i="8" s="1"/>
  <c r="R55" i="8" s="1"/>
  <c r="O54" i="8"/>
  <c r="N54" i="8"/>
  <c r="M54" i="8" s="1"/>
  <c r="H54" i="8"/>
  <c r="I54" i="8" s="1"/>
  <c r="J54" i="8" s="1"/>
  <c r="K54" i="8" s="1"/>
  <c r="L54" i="8" s="1"/>
  <c r="G54" i="8"/>
  <c r="F54" i="8"/>
  <c r="E54" i="8"/>
  <c r="Q54" i="8" s="1"/>
  <c r="Q53" i="8"/>
  <c r="R53" i="8" s="1"/>
  <c r="N53" i="8"/>
  <c r="H53" i="8"/>
  <c r="I53" i="8" s="1"/>
  <c r="J53" i="8" s="1"/>
  <c r="K53" i="8" s="1"/>
  <c r="L53" i="8" s="1"/>
  <c r="G53" i="8"/>
  <c r="F53" i="8"/>
  <c r="E53" i="8"/>
  <c r="R52" i="8"/>
  <c r="Q52" i="8"/>
  <c r="P52" i="8" s="1"/>
  <c r="O52" i="8"/>
  <c r="N52" i="8"/>
  <c r="M52" i="8"/>
  <c r="G52" i="8"/>
  <c r="F52" i="8"/>
  <c r="H52" i="8" s="1"/>
  <c r="I52" i="8" s="1"/>
  <c r="J52" i="8" s="1"/>
  <c r="K52" i="8" s="1"/>
  <c r="L52" i="8" s="1"/>
  <c r="S52" i="8" s="1"/>
  <c r="E52" i="8"/>
  <c r="N51" i="8"/>
  <c r="M51" i="8" s="1"/>
  <c r="H51" i="8"/>
  <c r="I51" i="8" s="1"/>
  <c r="J51" i="8" s="1"/>
  <c r="K51" i="8" s="1"/>
  <c r="L51" i="8" s="1"/>
  <c r="G51" i="8"/>
  <c r="F51" i="8"/>
  <c r="E51" i="8"/>
  <c r="Q51" i="8" s="1"/>
  <c r="Q50" i="8"/>
  <c r="R50" i="8" s="1"/>
  <c r="O50" i="8"/>
  <c r="N50" i="8"/>
  <c r="M50" i="8"/>
  <c r="G50" i="8"/>
  <c r="H50" i="8" s="1"/>
  <c r="I50" i="8" s="1"/>
  <c r="J50" i="8" s="1"/>
  <c r="K50" i="8" s="1"/>
  <c r="L50" i="8" s="1"/>
  <c r="S50" i="8" s="1"/>
  <c r="F50" i="8"/>
  <c r="E50" i="8"/>
  <c r="R49" i="8"/>
  <c r="Q49" i="8"/>
  <c r="P49" i="8"/>
  <c r="O49" i="8"/>
  <c r="N49" i="8"/>
  <c r="M49" i="8"/>
  <c r="G49" i="8"/>
  <c r="F49" i="8"/>
  <c r="E49" i="8"/>
  <c r="N48" i="8"/>
  <c r="O48" i="8" s="1"/>
  <c r="L48" i="8"/>
  <c r="K48" i="8"/>
  <c r="I48" i="8"/>
  <c r="J48" i="8" s="1"/>
  <c r="G48" i="8"/>
  <c r="F48" i="8"/>
  <c r="H48" i="8" s="1"/>
  <c r="E48" i="8"/>
  <c r="Q48" i="8" s="1"/>
  <c r="P48" i="8" s="1"/>
  <c r="R47" i="8"/>
  <c r="Q47" i="8"/>
  <c r="P47" i="8" s="1"/>
  <c r="N47" i="8"/>
  <c r="J47" i="8"/>
  <c r="K47" i="8" s="1"/>
  <c r="L47" i="8" s="1"/>
  <c r="H47" i="8"/>
  <c r="I47" i="8" s="1"/>
  <c r="G47" i="8"/>
  <c r="F47" i="8"/>
  <c r="E47" i="8"/>
  <c r="Q46" i="8"/>
  <c r="R46" i="8" s="1"/>
  <c r="P46" i="8"/>
  <c r="O46" i="8"/>
  <c r="N46" i="8"/>
  <c r="M46" i="8" s="1"/>
  <c r="G46" i="8"/>
  <c r="F46" i="8"/>
  <c r="H46" i="8" s="1"/>
  <c r="I46" i="8" s="1"/>
  <c r="J46" i="8" s="1"/>
  <c r="K46" i="8" s="1"/>
  <c r="L46" i="8" s="1"/>
  <c r="S46" i="8" s="1"/>
  <c r="E46" i="8"/>
  <c r="R45" i="8"/>
  <c r="Q45" i="8"/>
  <c r="P45" i="8"/>
  <c r="N45" i="8"/>
  <c r="O45" i="8" s="1"/>
  <c r="M45" i="8"/>
  <c r="I45" i="8"/>
  <c r="J45" i="8" s="1"/>
  <c r="K45" i="8" s="1"/>
  <c r="L45" i="8" s="1"/>
  <c r="S45" i="8" s="1"/>
  <c r="G45" i="8"/>
  <c r="F45" i="8"/>
  <c r="H45" i="8" s="1"/>
  <c r="E45" i="8"/>
  <c r="Q44" i="8"/>
  <c r="P44" i="8" s="1"/>
  <c r="O44" i="8"/>
  <c r="N44" i="8"/>
  <c r="M44" i="8"/>
  <c r="G44" i="8"/>
  <c r="H44" i="8" s="1"/>
  <c r="I44" i="8" s="1"/>
  <c r="J44" i="8" s="1"/>
  <c r="K44" i="8" s="1"/>
  <c r="L44" i="8" s="1"/>
  <c r="F44" i="8"/>
  <c r="E44" i="8"/>
  <c r="Q43" i="8"/>
  <c r="R43" i="8" s="1"/>
  <c r="P43" i="8"/>
  <c r="N43" i="8"/>
  <c r="G43" i="8"/>
  <c r="F43" i="8"/>
  <c r="H43" i="8" s="1"/>
  <c r="I43" i="8" s="1"/>
  <c r="J43" i="8" s="1"/>
  <c r="K43" i="8" s="1"/>
  <c r="L43" i="8" s="1"/>
  <c r="E43" i="8"/>
  <c r="P42" i="8"/>
  <c r="O42" i="8"/>
  <c r="N42" i="8"/>
  <c r="M42" i="8"/>
  <c r="K42" i="8"/>
  <c r="L42" i="8" s="1"/>
  <c r="S42" i="8" s="1"/>
  <c r="G42" i="8"/>
  <c r="F42" i="8"/>
  <c r="H42" i="8" s="1"/>
  <c r="I42" i="8" s="1"/>
  <c r="J42" i="8" s="1"/>
  <c r="E42" i="8"/>
  <c r="Q42" i="8" s="1"/>
  <c r="R42" i="8" s="1"/>
  <c r="R41" i="8"/>
  <c r="O41" i="8"/>
  <c r="N41" i="8"/>
  <c r="M41" i="8" s="1"/>
  <c r="J41" i="8"/>
  <c r="K41" i="8" s="1"/>
  <c r="L41" i="8" s="1"/>
  <c r="S41" i="8" s="1"/>
  <c r="G41" i="8"/>
  <c r="F41" i="8"/>
  <c r="H41" i="8" s="1"/>
  <c r="I41" i="8" s="1"/>
  <c r="E41" i="8"/>
  <c r="Q41" i="8" s="1"/>
  <c r="P41" i="8" s="1"/>
  <c r="N40" i="8"/>
  <c r="O40" i="8" s="1"/>
  <c r="M40" i="8"/>
  <c r="I40" i="8"/>
  <c r="J40" i="8" s="1"/>
  <c r="K40" i="8" s="1"/>
  <c r="L40" i="8" s="1"/>
  <c r="H40" i="8"/>
  <c r="G40" i="8"/>
  <c r="F40" i="8"/>
  <c r="E40" i="8"/>
  <c r="Q40" i="8" s="1"/>
  <c r="P39" i="8"/>
  <c r="O39" i="8"/>
  <c r="N39" i="8"/>
  <c r="M39" i="8"/>
  <c r="G39" i="8"/>
  <c r="F39" i="8"/>
  <c r="E39" i="8"/>
  <c r="Q39" i="8" s="1"/>
  <c r="R39" i="8" s="1"/>
  <c r="Q38" i="8"/>
  <c r="O38" i="8"/>
  <c r="N38" i="8"/>
  <c r="M38" i="8" s="1"/>
  <c r="H38" i="8"/>
  <c r="I38" i="8" s="1"/>
  <c r="J38" i="8" s="1"/>
  <c r="K38" i="8" s="1"/>
  <c r="L38" i="8" s="1"/>
  <c r="G38" i="8"/>
  <c r="F38" i="8"/>
  <c r="E38" i="8"/>
  <c r="Q37" i="8"/>
  <c r="P37" i="8" s="1"/>
  <c r="N37" i="8"/>
  <c r="G37" i="8"/>
  <c r="F37" i="8"/>
  <c r="H37" i="8" s="1"/>
  <c r="I37" i="8" s="1"/>
  <c r="J37" i="8" s="1"/>
  <c r="K37" i="8" s="1"/>
  <c r="L37" i="8" s="1"/>
  <c r="E37" i="8"/>
  <c r="O36" i="8"/>
  <c r="N36" i="8"/>
  <c r="M36" i="8"/>
  <c r="G36" i="8"/>
  <c r="F36" i="8"/>
  <c r="E36" i="8"/>
  <c r="Q36" i="8" s="1"/>
  <c r="P35" i="8"/>
  <c r="N35" i="8"/>
  <c r="M35" i="8" s="1"/>
  <c r="G35" i="8"/>
  <c r="F35" i="8"/>
  <c r="H35" i="8" s="1"/>
  <c r="I35" i="8" s="1"/>
  <c r="J35" i="8" s="1"/>
  <c r="K35" i="8" s="1"/>
  <c r="L35" i="8" s="1"/>
  <c r="E35" i="8"/>
  <c r="Q35" i="8" s="1"/>
  <c r="R35" i="8" s="1"/>
  <c r="Q34" i="8"/>
  <c r="R34" i="8" s="1"/>
  <c r="P34" i="8"/>
  <c r="O34" i="8"/>
  <c r="N34" i="8"/>
  <c r="M34" i="8"/>
  <c r="K34" i="8"/>
  <c r="L34" i="8" s="1"/>
  <c r="S34" i="8" s="1"/>
  <c r="G34" i="8"/>
  <c r="H34" i="8" s="1"/>
  <c r="I34" i="8" s="1"/>
  <c r="J34" i="8" s="1"/>
  <c r="F34" i="8"/>
  <c r="E34" i="8"/>
  <c r="Q33" i="8"/>
  <c r="R33" i="8" s="1"/>
  <c r="O33" i="8"/>
  <c r="N33" i="8"/>
  <c r="M33" i="8"/>
  <c r="L33" i="8"/>
  <c r="S33" i="8" s="1"/>
  <c r="G33" i="8"/>
  <c r="F33" i="8"/>
  <c r="H33" i="8" s="1"/>
  <c r="I33" i="8" s="1"/>
  <c r="J33" i="8" s="1"/>
  <c r="K33" i="8" s="1"/>
  <c r="E33" i="8"/>
  <c r="O32" i="8"/>
  <c r="N32" i="8"/>
  <c r="M32" i="8"/>
  <c r="L32" i="8"/>
  <c r="G32" i="8"/>
  <c r="F32" i="8"/>
  <c r="H32" i="8" s="1"/>
  <c r="I32" i="8" s="1"/>
  <c r="J32" i="8" s="1"/>
  <c r="K32" i="8" s="1"/>
  <c r="E32" i="8"/>
  <c r="Q32" i="8" s="1"/>
  <c r="R31" i="8"/>
  <c r="Q31" i="8"/>
  <c r="P31" i="8" s="1"/>
  <c r="O31" i="8"/>
  <c r="N31" i="8"/>
  <c r="M31" i="8" s="1"/>
  <c r="H31" i="8"/>
  <c r="I31" i="8" s="1"/>
  <c r="J31" i="8" s="1"/>
  <c r="K31" i="8" s="1"/>
  <c r="L31" i="8" s="1"/>
  <c r="S31" i="8" s="1"/>
  <c r="G31" i="8"/>
  <c r="F31" i="8"/>
  <c r="E31" i="8"/>
  <c r="R30" i="8"/>
  <c r="Q30" i="8"/>
  <c r="P30" i="8"/>
  <c r="O30" i="8"/>
  <c r="N30" i="8"/>
  <c r="M30" i="8"/>
  <c r="G30" i="8"/>
  <c r="F30" i="8"/>
  <c r="E30" i="8"/>
  <c r="Q29" i="8"/>
  <c r="N29" i="8"/>
  <c r="O29" i="8" s="1"/>
  <c r="M29" i="8"/>
  <c r="G29" i="8"/>
  <c r="F29" i="8"/>
  <c r="H29" i="8" s="1"/>
  <c r="I29" i="8" s="1"/>
  <c r="J29" i="8" s="1"/>
  <c r="K29" i="8" s="1"/>
  <c r="L29" i="8" s="1"/>
  <c r="E29" i="8"/>
  <c r="R28" i="8"/>
  <c r="Q28" i="8"/>
  <c r="P28" i="8" s="1"/>
  <c r="O28" i="8"/>
  <c r="N28" i="8"/>
  <c r="M28" i="8" s="1"/>
  <c r="K28" i="8"/>
  <c r="L28" i="8" s="1"/>
  <c r="S28" i="8" s="1"/>
  <c r="I28" i="8"/>
  <c r="J28" i="8" s="1"/>
  <c r="H28" i="8"/>
  <c r="G28" i="8"/>
  <c r="F28" i="8"/>
  <c r="E28" i="8"/>
  <c r="Q27" i="8"/>
  <c r="R27" i="8" s="1"/>
  <c r="P27" i="8"/>
  <c r="O27" i="8"/>
  <c r="N27" i="8"/>
  <c r="M27" i="8" s="1"/>
  <c r="I27" i="8"/>
  <c r="J27" i="8" s="1"/>
  <c r="K27" i="8" s="1"/>
  <c r="L27" i="8" s="1"/>
  <c r="S27" i="8" s="1"/>
  <c r="H27" i="8"/>
  <c r="G27" i="8"/>
  <c r="F27" i="8"/>
  <c r="E27" i="8"/>
  <c r="N26" i="8"/>
  <c r="O26" i="8" s="1"/>
  <c r="I26" i="8"/>
  <c r="J26" i="8" s="1"/>
  <c r="K26" i="8" s="1"/>
  <c r="L26" i="8" s="1"/>
  <c r="G26" i="8"/>
  <c r="F26" i="8"/>
  <c r="H26" i="8" s="1"/>
  <c r="E26" i="8"/>
  <c r="Q26" i="8" s="1"/>
  <c r="O25" i="8"/>
  <c r="N25" i="8"/>
  <c r="M25" i="8" s="1"/>
  <c r="I25" i="8"/>
  <c r="J25" i="8" s="1"/>
  <c r="K25" i="8" s="1"/>
  <c r="L25" i="8" s="1"/>
  <c r="H25" i="8"/>
  <c r="G25" i="8"/>
  <c r="F25" i="8"/>
  <c r="E25" i="8"/>
  <c r="Q25" i="8" s="1"/>
  <c r="N24" i="8"/>
  <c r="G24" i="8"/>
  <c r="F24" i="8"/>
  <c r="H24" i="8" s="1"/>
  <c r="I24" i="8" s="1"/>
  <c r="J24" i="8" s="1"/>
  <c r="K24" i="8" s="1"/>
  <c r="L24" i="8" s="1"/>
  <c r="E24" i="8"/>
  <c r="Q24" i="8" s="1"/>
  <c r="R23" i="8"/>
  <c r="P23" i="8"/>
  <c r="O23" i="8"/>
  <c r="N23" i="8"/>
  <c r="M23" i="8"/>
  <c r="G23" i="8"/>
  <c r="F23" i="8"/>
  <c r="H23" i="8" s="1"/>
  <c r="I23" i="8" s="1"/>
  <c r="J23" i="8" s="1"/>
  <c r="K23" i="8" s="1"/>
  <c r="L23" i="8" s="1"/>
  <c r="S23" i="8" s="1"/>
  <c r="E23" i="8"/>
  <c r="Q23" i="8" s="1"/>
  <c r="R22" i="8"/>
  <c r="O22" i="8"/>
  <c r="N22" i="8"/>
  <c r="M22" i="8" s="1"/>
  <c r="I22" i="8"/>
  <c r="J22" i="8" s="1"/>
  <c r="K22" i="8" s="1"/>
  <c r="L22" i="8" s="1"/>
  <c r="H22" i="8"/>
  <c r="G22" i="8"/>
  <c r="F22" i="8"/>
  <c r="E22" i="8"/>
  <c r="Q22" i="8" s="1"/>
  <c r="P22" i="8" s="1"/>
  <c r="R21" i="8"/>
  <c r="N21" i="8"/>
  <c r="H21" i="8"/>
  <c r="I21" i="8" s="1"/>
  <c r="J21" i="8" s="1"/>
  <c r="K21" i="8" s="1"/>
  <c r="L21" i="8" s="1"/>
  <c r="G21" i="8"/>
  <c r="F21" i="8"/>
  <c r="E21" i="8"/>
  <c r="Q21" i="8" s="1"/>
  <c r="P21" i="8" s="1"/>
  <c r="O20" i="8"/>
  <c r="N20" i="8"/>
  <c r="M20" i="8"/>
  <c r="J20" i="8"/>
  <c r="K20" i="8" s="1"/>
  <c r="L20" i="8" s="1"/>
  <c r="I20" i="8"/>
  <c r="H20" i="8"/>
  <c r="G20" i="8"/>
  <c r="F20" i="8"/>
  <c r="E20" i="8"/>
  <c r="Q20" i="8" s="1"/>
  <c r="N19" i="8"/>
  <c r="M19" i="8" s="1"/>
  <c r="H19" i="8"/>
  <c r="I19" i="8" s="1"/>
  <c r="J19" i="8" s="1"/>
  <c r="K19" i="8" s="1"/>
  <c r="L19" i="8" s="1"/>
  <c r="G19" i="8"/>
  <c r="F19" i="8"/>
  <c r="E19" i="8"/>
  <c r="Q19" i="8" s="1"/>
  <c r="R18" i="8"/>
  <c r="Q18" i="8"/>
  <c r="P18" i="8"/>
  <c r="O18" i="8"/>
  <c r="N18" i="8"/>
  <c r="M18" i="8"/>
  <c r="G18" i="8"/>
  <c r="H18" i="8" s="1"/>
  <c r="I18" i="8" s="1"/>
  <c r="J18" i="8" s="1"/>
  <c r="K18" i="8" s="1"/>
  <c r="L18" i="8" s="1"/>
  <c r="S18" i="8" s="1"/>
  <c r="F18" i="8"/>
  <c r="E18" i="8"/>
  <c r="Q17" i="8"/>
  <c r="R17" i="8" s="1"/>
  <c r="P17" i="8"/>
  <c r="O17" i="8"/>
  <c r="N17" i="8"/>
  <c r="M17" i="8" s="1"/>
  <c r="L17" i="8"/>
  <c r="S17" i="8" s="1"/>
  <c r="G17" i="8"/>
  <c r="F17" i="8"/>
  <c r="H17" i="8" s="1"/>
  <c r="I17" i="8" s="1"/>
  <c r="J17" i="8" s="1"/>
  <c r="K17" i="8" s="1"/>
  <c r="E17" i="8"/>
  <c r="O16" i="8"/>
  <c r="N16" i="8"/>
  <c r="M16" i="8"/>
  <c r="G16" i="8"/>
  <c r="F16" i="8"/>
  <c r="H16" i="8" s="1"/>
  <c r="I16" i="8" s="1"/>
  <c r="J16" i="8" s="1"/>
  <c r="K16" i="8" s="1"/>
  <c r="L16" i="8" s="1"/>
  <c r="E16" i="8"/>
  <c r="Q16" i="8" s="1"/>
  <c r="Q15" i="8"/>
  <c r="P15" i="8" s="1"/>
  <c r="O15" i="8"/>
  <c r="N15" i="8"/>
  <c r="M15" i="8" s="1"/>
  <c r="J15" i="8"/>
  <c r="K15" i="8" s="1"/>
  <c r="L15" i="8" s="1"/>
  <c r="H15" i="8"/>
  <c r="I15" i="8" s="1"/>
  <c r="G15" i="8"/>
  <c r="F15" i="8"/>
  <c r="E15" i="8"/>
  <c r="R14" i="8"/>
  <c r="Q14" i="8"/>
  <c r="P14" i="8"/>
  <c r="O14" i="8"/>
  <c r="N14" i="8"/>
  <c r="M14" i="8"/>
  <c r="G14" i="8"/>
  <c r="F14" i="8"/>
  <c r="E14" i="8"/>
  <c r="Q13" i="8"/>
  <c r="N13" i="8"/>
  <c r="O13" i="8" s="1"/>
  <c r="M13" i="8"/>
  <c r="H13" i="8"/>
  <c r="I13" i="8" s="1"/>
  <c r="J13" i="8" s="1"/>
  <c r="K13" i="8" s="1"/>
  <c r="L13" i="8" s="1"/>
  <c r="G13" i="8"/>
  <c r="F13" i="8"/>
  <c r="E13" i="8"/>
  <c r="R12" i="8"/>
  <c r="Q12" i="8"/>
  <c r="P12" i="8" s="1"/>
  <c r="O12" i="8"/>
  <c r="N12" i="8"/>
  <c r="M12" i="8" s="1"/>
  <c r="I12" i="8"/>
  <c r="J12" i="8" s="1"/>
  <c r="K12" i="8" s="1"/>
  <c r="L12" i="8" s="1"/>
  <c r="S12" i="8" s="1"/>
  <c r="H12" i="8"/>
  <c r="G12" i="8"/>
  <c r="F12" i="8"/>
  <c r="E12" i="8"/>
  <c r="Q11" i="8"/>
  <c r="R11" i="8" s="1"/>
  <c r="O11" i="8"/>
  <c r="N11" i="8"/>
  <c r="M11" i="8" s="1"/>
  <c r="H11" i="8"/>
  <c r="I11" i="8" s="1"/>
  <c r="J11" i="8" s="1"/>
  <c r="K11" i="8" s="1"/>
  <c r="L11" i="8" s="1"/>
  <c r="S11" i="8" s="1"/>
  <c r="G11" i="8"/>
  <c r="F11" i="8"/>
  <c r="E11" i="8"/>
  <c r="N10" i="8"/>
  <c r="I10" i="8"/>
  <c r="J10" i="8" s="1"/>
  <c r="K10" i="8" s="1"/>
  <c r="L10" i="8" s="1"/>
  <c r="G10" i="8"/>
  <c r="F10" i="8"/>
  <c r="H10" i="8" s="1"/>
  <c r="E10" i="8"/>
  <c r="Q10" i="8" s="1"/>
  <c r="O9" i="8"/>
  <c r="N9" i="8"/>
  <c r="M9" i="8" s="1"/>
  <c r="J9" i="8"/>
  <c r="K9" i="8" s="1"/>
  <c r="L9" i="8" s="1"/>
  <c r="I9" i="8"/>
  <c r="H9" i="8"/>
  <c r="G9" i="8"/>
  <c r="F9" i="8"/>
  <c r="E9" i="8"/>
  <c r="Q9" i="8" s="1"/>
  <c r="N8" i="8"/>
  <c r="O8" i="8" s="1"/>
  <c r="M8" i="8"/>
  <c r="G8" i="8"/>
  <c r="F8" i="8"/>
  <c r="H8" i="8" s="1"/>
  <c r="I8" i="8" s="1"/>
  <c r="J8" i="8" s="1"/>
  <c r="K8" i="8" s="1"/>
  <c r="L8" i="8" s="1"/>
  <c r="E8" i="8"/>
  <c r="Q8" i="8" s="1"/>
  <c r="R7" i="8"/>
  <c r="P7" i="8"/>
  <c r="O7" i="8"/>
  <c r="N7" i="8"/>
  <c r="M7" i="8"/>
  <c r="K7" i="8"/>
  <c r="L7" i="8" s="1"/>
  <c r="S7" i="8" s="1"/>
  <c r="G7" i="8"/>
  <c r="F7" i="8"/>
  <c r="H7" i="8" s="1"/>
  <c r="I7" i="8" s="1"/>
  <c r="J7" i="8" s="1"/>
  <c r="E7" i="8"/>
  <c r="Q7" i="8" s="1"/>
  <c r="R6" i="8"/>
  <c r="O6" i="8"/>
  <c r="N6" i="8"/>
  <c r="M6" i="8" s="1"/>
  <c r="H6" i="8"/>
  <c r="I6" i="8" s="1"/>
  <c r="J6" i="8" s="1"/>
  <c r="K6" i="8" s="1"/>
  <c r="L6" i="8" s="1"/>
  <c r="S6" i="8" s="1"/>
  <c r="G6" i="8"/>
  <c r="F6" i="8"/>
  <c r="E6" i="8"/>
  <c r="Q6" i="8" s="1"/>
  <c r="P6" i="8" s="1"/>
  <c r="N5" i="8"/>
  <c r="H5" i="8"/>
  <c r="I5" i="8" s="1"/>
  <c r="J5" i="8" s="1"/>
  <c r="K5" i="8" s="1"/>
  <c r="L5" i="8" s="1"/>
  <c r="G5" i="8"/>
  <c r="F5" i="8"/>
  <c r="E5" i="8"/>
  <c r="Q5" i="8" s="1"/>
  <c r="R5" i="8" s="1"/>
  <c r="O4" i="8"/>
  <c r="N4" i="8"/>
  <c r="M4" i="8"/>
  <c r="I4" i="8"/>
  <c r="J4" i="8" s="1"/>
  <c r="K4" i="8" s="1"/>
  <c r="L4" i="8" s="1"/>
  <c r="H4" i="8"/>
  <c r="G4" i="8"/>
  <c r="F4" i="8"/>
  <c r="E4" i="8"/>
  <c r="Q4" i="8" s="1"/>
  <c r="N3" i="8"/>
  <c r="M3" i="8" s="1"/>
  <c r="G3" i="8"/>
  <c r="F3" i="8"/>
  <c r="H3" i="8" s="1"/>
  <c r="I3" i="8" s="1"/>
  <c r="J3" i="8" s="1"/>
  <c r="K3" i="8" s="1"/>
  <c r="L3" i="8" s="1"/>
  <c r="E3" i="8"/>
  <c r="Q3" i="8" s="1"/>
  <c r="R2" i="8"/>
  <c r="Q2" i="8"/>
  <c r="P2" i="8"/>
  <c r="O2" i="8"/>
  <c r="N2" i="8"/>
  <c r="M2" i="8"/>
  <c r="K2" i="8"/>
  <c r="L2" i="8" s="1"/>
  <c r="S2" i="8" s="1"/>
  <c r="G2" i="8"/>
  <c r="H2" i="8" s="1"/>
  <c r="I2" i="8" s="1"/>
  <c r="J2" i="8" s="1"/>
  <c r="F2" i="8"/>
  <c r="E2" i="8"/>
  <c r="E12" i="7"/>
  <c r="E11" i="7"/>
  <c r="J36" i="5" s="1"/>
  <c r="B11" i="7"/>
  <c r="E10" i="7"/>
  <c r="E21" i="6"/>
  <c r="F11" i="6"/>
  <c r="G11" i="6" s="1"/>
  <c r="E11" i="6"/>
  <c r="D11" i="6"/>
  <c r="C11" i="6"/>
  <c r="B11" i="6"/>
  <c r="M40" i="5"/>
  <c r="L40" i="5"/>
  <c r="K40" i="5"/>
  <c r="J40" i="5"/>
  <c r="I40" i="5"/>
  <c r="H40" i="5"/>
  <c r="G40" i="5"/>
  <c r="F40" i="5"/>
  <c r="E40" i="5"/>
  <c r="D40" i="5"/>
  <c r="C40" i="5"/>
  <c r="B40" i="5"/>
  <c r="N39" i="5"/>
  <c r="F39" i="6" s="1"/>
  <c r="N38" i="5"/>
  <c r="F38" i="6" s="1"/>
  <c r="K37" i="5"/>
  <c r="F37" i="5"/>
  <c r="C37" i="5"/>
  <c r="M36" i="5"/>
  <c r="L36" i="5"/>
  <c r="K36" i="5"/>
  <c r="I36" i="5"/>
  <c r="H36" i="5"/>
  <c r="G36" i="5"/>
  <c r="F36" i="5"/>
  <c r="E36" i="5"/>
  <c r="D36" i="5"/>
  <c r="C36" i="5"/>
  <c r="B36" i="5"/>
  <c r="N35" i="5"/>
  <c r="F35" i="6" s="1"/>
  <c r="N34" i="5"/>
  <c r="F34" i="6" s="1"/>
  <c r="N33" i="5"/>
  <c r="F33" i="6" s="1"/>
  <c r="N32" i="5"/>
  <c r="F32" i="6" s="1"/>
  <c r="N31" i="5"/>
  <c r="F31" i="6" s="1"/>
  <c r="G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L24" i="5"/>
  <c r="K24" i="5"/>
  <c r="J24" i="5"/>
  <c r="I24" i="5"/>
  <c r="H24" i="5"/>
  <c r="G24" i="5"/>
  <c r="F24" i="5"/>
  <c r="E24" i="5"/>
  <c r="D24" i="5"/>
  <c r="C24" i="5"/>
  <c r="B24" i="5"/>
  <c r="N23" i="5"/>
  <c r="F23" i="6" s="1"/>
  <c r="N22" i="5"/>
  <c r="F22" i="6" s="1"/>
  <c r="N21" i="5"/>
  <c r="F21" i="6" s="1"/>
  <c r="N20" i="5"/>
  <c r="F20" i="6" s="1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E39" i="6" s="1"/>
  <c r="N38" i="4"/>
  <c r="E38" i="6" s="1"/>
  <c r="K37" i="4"/>
  <c r="I37" i="4"/>
  <c r="H37" i="4"/>
  <c r="D37" i="4"/>
  <c r="C37" i="4"/>
  <c r="B37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E35" i="6" s="1"/>
  <c r="N34" i="4"/>
  <c r="E34" i="6" s="1"/>
  <c r="N33" i="4"/>
  <c r="E33" i="6" s="1"/>
  <c r="N32" i="4"/>
  <c r="E32" i="6" s="1"/>
  <c r="N31" i="4"/>
  <c r="E31" i="6" s="1"/>
  <c r="J30" i="4"/>
  <c r="G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M28" i="4"/>
  <c r="L28" i="4"/>
  <c r="K28" i="4"/>
  <c r="J28" i="4"/>
  <c r="I28" i="4"/>
  <c r="H28" i="4"/>
  <c r="G28" i="4"/>
  <c r="F28" i="4"/>
  <c r="E28" i="4"/>
  <c r="D28" i="4"/>
  <c r="C28" i="4"/>
  <c r="B28" i="4"/>
  <c r="M27" i="4"/>
  <c r="L27" i="4"/>
  <c r="K27" i="4"/>
  <c r="J27" i="4"/>
  <c r="I27" i="4"/>
  <c r="H27" i="4"/>
  <c r="G27" i="4"/>
  <c r="F27" i="4"/>
  <c r="E27" i="4"/>
  <c r="D27" i="4"/>
  <c r="C27" i="4"/>
  <c r="B27" i="4"/>
  <c r="N27" i="4" s="1"/>
  <c r="E27" i="6" s="1"/>
  <c r="M26" i="4"/>
  <c r="L26" i="4"/>
  <c r="K26" i="4"/>
  <c r="J26" i="4"/>
  <c r="I26" i="4"/>
  <c r="H26" i="4"/>
  <c r="G26" i="4"/>
  <c r="F26" i="4"/>
  <c r="E26" i="4"/>
  <c r="D26" i="4"/>
  <c r="C26" i="4"/>
  <c r="B26" i="4"/>
  <c r="M25" i="4"/>
  <c r="L25" i="4"/>
  <c r="K25" i="4"/>
  <c r="J25" i="4"/>
  <c r="I25" i="4"/>
  <c r="H25" i="4"/>
  <c r="G25" i="4"/>
  <c r="F25" i="4"/>
  <c r="E25" i="4"/>
  <c r="D25" i="4"/>
  <c r="C25" i="4"/>
  <c r="B25" i="4"/>
  <c r="B19" i="4" s="1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E23" i="6" s="1"/>
  <c r="N22" i="4"/>
  <c r="E22" i="6" s="1"/>
  <c r="N21" i="4"/>
  <c r="N20" i="4"/>
  <c r="E20" i="6" s="1"/>
  <c r="M40" i="3"/>
  <c r="L40" i="3"/>
  <c r="K40" i="3"/>
  <c r="J40" i="3"/>
  <c r="I40" i="3"/>
  <c r="H40" i="3"/>
  <c r="G40" i="3"/>
  <c r="F40" i="3"/>
  <c r="E40" i="3"/>
  <c r="D40" i="3"/>
  <c r="C40" i="3"/>
  <c r="B40" i="3"/>
  <c r="N39" i="3"/>
  <c r="D39" i="6" s="1"/>
  <c r="N38" i="3"/>
  <c r="D38" i="6" s="1"/>
  <c r="M37" i="3"/>
  <c r="L37" i="3"/>
  <c r="K37" i="3"/>
  <c r="J37" i="3"/>
  <c r="I37" i="3"/>
  <c r="H37" i="3"/>
  <c r="G37" i="3"/>
  <c r="F37" i="3"/>
  <c r="E37" i="3"/>
  <c r="D37" i="3"/>
  <c r="C37" i="3"/>
  <c r="B37" i="3"/>
  <c r="M36" i="3"/>
  <c r="L36" i="3"/>
  <c r="K36" i="3"/>
  <c r="J36" i="3"/>
  <c r="I36" i="3"/>
  <c r="H36" i="3"/>
  <c r="G36" i="3"/>
  <c r="F36" i="3"/>
  <c r="E36" i="3"/>
  <c r="D36" i="3"/>
  <c r="C36" i="3"/>
  <c r="B36" i="3"/>
  <c r="N35" i="3"/>
  <c r="D35" i="6" s="1"/>
  <c r="N34" i="3"/>
  <c r="D34" i="6" s="1"/>
  <c r="N33" i="3"/>
  <c r="D33" i="6" s="1"/>
  <c r="N32" i="3"/>
  <c r="D32" i="6" s="1"/>
  <c r="N31" i="3"/>
  <c r="D31" i="6" s="1"/>
  <c r="M30" i="3"/>
  <c r="L30" i="3"/>
  <c r="K30" i="3"/>
  <c r="J30" i="3"/>
  <c r="I30" i="3"/>
  <c r="H30" i="3"/>
  <c r="G30" i="3"/>
  <c r="F30" i="3"/>
  <c r="E30" i="3"/>
  <c r="D30" i="3"/>
  <c r="C30" i="3"/>
  <c r="B30" i="3"/>
  <c r="M29" i="3"/>
  <c r="L29" i="3"/>
  <c r="K29" i="3"/>
  <c r="J29" i="3"/>
  <c r="I29" i="3"/>
  <c r="H29" i="3"/>
  <c r="G29" i="3"/>
  <c r="F29" i="3"/>
  <c r="E29" i="3"/>
  <c r="D29" i="3"/>
  <c r="C29" i="3"/>
  <c r="B29" i="3"/>
  <c r="M28" i="3"/>
  <c r="L28" i="3"/>
  <c r="K28" i="3"/>
  <c r="J28" i="3"/>
  <c r="I28" i="3"/>
  <c r="H28" i="3"/>
  <c r="G28" i="3"/>
  <c r="F28" i="3"/>
  <c r="E28" i="3"/>
  <c r="D28" i="3"/>
  <c r="C28" i="3"/>
  <c r="B28" i="3"/>
  <c r="M27" i="3"/>
  <c r="L27" i="3"/>
  <c r="K27" i="3"/>
  <c r="J27" i="3"/>
  <c r="I27" i="3"/>
  <c r="H27" i="3"/>
  <c r="G27" i="3"/>
  <c r="F27" i="3"/>
  <c r="E27" i="3"/>
  <c r="D27" i="3"/>
  <c r="C27" i="3"/>
  <c r="B27" i="3"/>
  <c r="M26" i="3"/>
  <c r="L26" i="3"/>
  <c r="K26" i="3"/>
  <c r="J26" i="3"/>
  <c r="I26" i="3"/>
  <c r="H26" i="3"/>
  <c r="G26" i="3"/>
  <c r="F26" i="3"/>
  <c r="E26" i="3"/>
  <c r="D26" i="3"/>
  <c r="C26" i="3"/>
  <c r="B26" i="3"/>
  <c r="M25" i="3"/>
  <c r="L25" i="3"/>
  <c r="K25" i="3"/>
  <c r="J25" i="3"/>
  <c r="J19" i="3" s="1"/>
  <c r="I25" i="3"/>
  <c r="H25" i="3"/>
  <c r="G25" i="3"/>
  <c r="F25" i="3"/>
  <c r="E25" i="3"/>
  <c r="D25" i="3"/>
  <c r="C25" i="3"/>
  <c r="B25" i="3"/>
  <c r="M24" i="3"/>
  <c r="L24" i="3"/>
  <c r="L19" i="3" s="1"/>
  <c r="K24" i="3"/>
  <c r="J24" i="3"/>
  <c r="I24" i="3"/>
  <c r="H24" i="3"/>
  <c r="G24" i="3"/>
  <c r="F24" i="3"/>
  <c r="E24" i="3"/>
  <c r="D24" i="3"/>
  <c r="C24" i="3"/>
  <c r="B24" i="3"/>
  <c r="N23" i="3"/>
  <c r="D23" i="6" s="1"/>
  <c r="N22" i="3"/>
  <c r="D22" i="6" s="1"/>
  <c r="N21" i="3"/>
  <c r="D21" i="6" s="1"/>
  <c r="N20" i="3"/>
  <c r="D20" i="6" s="1"/>
  <c r="M40" i="2"/>
  <c r="L40" i="2"/>
  <c r="K40" i="2"/>
  <c r="J40" i="2"/>
  <c r="I40" i="2"/>
  <c r="H40" i="2"/>
  <c r="G40" i="2"/>
  <c r="F40" i="2"/>
  <c r="E40" i="2"/>
  <c r="D40" i="2"/>
  <c r="C40" i="2"/>
  <c r="B40" i="2"/>
  <c r="N39" i="2"/>
  <c r="C39" i="6" s="1"/>
  <c r="N38" i="2"/>
  <c r="C38" i="6" s="1"/>
  <c r="N37" i="2"/>
  <c r="C37" i="6" s="1"/>
  <c r="B37" i="2"/>
  <c r="B36" i="2"/>
  <c r="N36" i="2" s="1"/>
  <c r="C36" i="6" s="1"/>
  <c r="N35" i="2"/>
  <c r="C35" i="6" s="1"/>
  <c r="N34" i="2"/>
  <c r="C34" i="6" s="1"/>
  <c r="N33" i="2"/>
  <c r="C33" i="6" s="1"/>
  <c r="N32" i="2"/>
  <c r="C32" i="6" s="1"/>
  <c r="N31" i="2"/>
  <c r="C31" i="6" s="1"/>
  <c r="N30" i="2"/>
  <c r="C30" i="6" s="1"/>
  <c r="B30" i="2"/>
  <c r="B29" i="2"/>
  <c r="N29" i="2" s="1"/>
  <c r="C29" i="6" s="1"/>
  <c r="M28" i="2"/>
  <c r="L28" i="2"/>
  <c r="K28" i="2"/>
  <c r="J28" i="2"/>
  <c r="I28" i="2"/>
  <c r="H28" i="2"/>
  <c r="G28" i="2"/>
  <c r="F28" i="2"/>
  <c r="E28" i="2"/>
  <c r="D28" i="2"/>
  <c r="C28" i="2"/>
  <c r="B28" i="2"/>
  <c r="N28" i="2" s="1"/>
  <c r="C28" i="6" s="1"/>
  <c r="M27" i="2"/>
  <c r="L27" i="2"/>
  <c r="K27" i="2"/>
  <c r="J27" i="2"/>
  <c r="I27" i="2"/>
  <c r="H27" i="2"/>
  <c r="G27" i="2"/>
  <c r="F27" i="2"/>
  <c r="E27" i="2"/>
  <c r="D27" i="2"/>
  <c r="C27" i="2"/>
  <c r="B27" i="2"/>
  <c r="M26" i="2"/>
  <c r="L26" i="2"/>
  <c r="K26" i="2"/>
  <c r="J26" i="2"/>
  <c r="J19" i="2" s="1"/>
  <c r="I26" i="2"/>
  <c r="H26" i="2"/>
  <c r="G26" i="2"/>
  <c r="F26" i="2"/>
  <c r="E26" i="2"/>
  <c r="D26" i="2"/>
  <c r="C26" i="2"/>
  <c r="B26" i="2"/>
  <c r="M25" i="2"/>
  <c r="L25" i="2"/>
  <c r="K25" i="2"/>
  <c r="J25" i="2"/>
  <c r="I25" i="2"/>
  <c r="H25" i="2"/>
  <c r="G25" i="2"/>
  <c r="G19" i="2" s="1"/>
  <c r="F25" i="2"/>
  <c r="E25" i="2"/>
  <c r="E19" i="2" s="1"/>
  <c r="D25" i="2"/>
  <c r="C25" i="2"/>
  <c r="B25" i="2"/>
  <c r="M24" i="2"/>
  <c r="L24" i="2"/>
  <c r="L19" i="2" s="1"/>
  <c r="K24" i="2"/>
  <c r="J24" i="2"/>
  <c r="I24" i="2"/>
  <c r="H24" i="2"/>
  <c r="G24" i="2"/>
  <c r="F24" i="2"/>
  <c r="E24" i="2"/>
  <c r="D24" i="2"/>
  <c r="D19" i="2" s="1"/>
  <c r="C24" i="2"/>
  <c r="B24" i="2"/>
  <c r="N23" i="2"/>
  <c r="C23" i="6" s="1"/>
  <c r="N22" i="2"/>
  <c r="C22" i="6" s="1"/>
  <c r="N21" i="2"/>
  <c r="C21" i="6" s="1"/>
  <c r="N20" i="2"/>
  <c r="C20" i="6" s="1"/>
  <c r="M40" i="1"/>
  <c r="L40" i="1"/>
  <c r="K40" i="1"/>
  <c r="J40" i="1"/>
  <c r="I40" i="1"/>
  <c r="H40" i="1"/>
  <c r="N40" i="1" s="1"/>
  <c r="B40" i="6" s="1"/>
  <c r="G40" i="1"/>
  <c r="F40" i="1"/>
  <c r="E40" i="1"/>
  <c r="D40" i="1"/>
  <c r="C40" i="1"/>
  <c r="B40" i="1"/>
  <c r="N39" i="1"/>
  <c r="B39" i="6" s="1"/>
  <c r="N38" i="1"/>
  <c r="B38" i="6" s="1"/>
  <c r="N37" i="1"/>
  <c r="B37" i="6" s="1"/>
  <c r="B37" i="1"/>
  <c r="N36" i="1"/>
  <c r="B36" i="6" s="1"/>
  <c r="B36" i="1"/>
  <c r="N35" i="1"/>
  <c r="B35" i="6" s="1"/>
  <c r="N34" i="1"/>
  <c r="B34" i="6" s="1"/>
  <c r="N33" i="1"/>
  <c r="B33" i="6" s="1"/>
  <c r="N32" i="1"/>
  <c r="B32" i="6" s="1"/>
  <c r="N31" i="1"/>
  <c r="B31" i="6" s="1"/>
  <c r="N30" i="1"/>
  <c r="B30" i="6" s="1"/>
  <c r="B30" i="1"/>
  <c r="B29" i="1"/>
  <c r="N29" i="1" s="1"/>
  <c r="B29" i="6" s="1"/>
  <c r="M28" i="1"/>
  <c r="L28" i="1"/>
  <c r="K28" i="1"/>
  <c r="J28" i="1"/>
  <c r="I28" i="1"/>
  <c r="H28" i="1"/>
  <c r="G28" i="1"/>
  <c r="F28" i="1"/>
  <c r="E28" i="1"/>
  <c r="D28" i="1"/>
  <c r="C28" i="1"/>
  <c r="B28" i="1"/>
  <c r="N28" i="1" s="1"/>
  <c r="B28" i="6" s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G19" i="1" s="1"/>
  <c r="F26" i="1"/>
  <c r="E26" i="1"/>
  <c r="D26" i="1"/>
  <c r="C26" i="1"/>
  <c r="N26" i="1" s="1"/>
  <c r="B26" i="6" s="1"/>
  <c r="B26" i="1"/>
  <c r="N25" i="1"/>
  <c r="B25" i="6" s="1"/>
  <c r="M25" i="1"/>
  <c r="L25" i="1"/>
  <c r="K25" i="1"/>
  <c r="J25" i="1"/>
  <c r="I25" i="1"/>
  <c r="I19" i="1" s="1"/>
  <c r="H25" i="1"/>
  <c r="G25" i="1"/>
  <c r="F25" i="1"/>
  <c r="E25" i="1"/>
  <c r="E19" i="1" s="1"/>
  <c r="D25" i="1"/>
  <c r="D19" i="1" s="1"/>
  <c r="C25" i="1"/>
  <c r="B25" i="1"/>
  <c r="M24" i="1"/>
  <c r="M19" i="1" s="1"/>
  <c r="L24" i="1"/>
  <c r="K24" i="1"/>
  <c r="K19" i="1" s="1"/>
  <c r="J24" i="1"/>
  <c r="I24" i="1"/>
  <c r="H24" i="1"/>
  <c r="G24" i="1"/>
  <c r="F24" i="1"/>
  <c r="N24" i="1" s="1"/>
  <c r="B24" i="6" s="1"/>
  <c r="E24" i="1"/>
  <c r="D24" i="1"/>
  <c r="C24" i="1"/>
  <c r="B24" i="1"/>
  <c r="B19" i="1" s="1"/>
  <c r="N23" i="1"/>
  <c r="B23" i="6" s="1"/>
  <c r="N22" i="1"/>
  <c r="B22" i="6" s="1"/>
  <c r="N21" i="1"/>
  <c r="B21" i="6" s="1"/>
  <c r="N20" i="1"/>
  <c r="B20" i="6" s="1"/>
  <c r="L19" i="1"/>
  <c r="C19" i="1"/>
  <c r="B18" i="1"/>
  <c r="B16" i="1"/>
  <c r="B15" i="1"/>
  <c r="B5" i="1"/>
  <c r="B14" i="1" s="1"/>
  <c r="B2" i="1"/>
  <c r="N25" i="2" l="1"/>
  <c r="C25" i="6" s="1"/>
  <c r="N26" i="2"/>
  <c r="C26" i="6" s="1"/>
  <c r="N37" i="3"/>
  <c r="D37" i="6" s="1"/>
  <c r="I19" i="3"/>
  <c r="H19" i="3"/>
  <c r="E19" i="3"/>
  <c r="N28" i="3"/>
  <c r="D28" i="6" s="1"/>
  <c r="D19" i="3"/>
  <c r="M19" i="3"/>
  <c r="N36" i="4"/>
  <c r="E36" i="6" s="1"/>
  <c r="N25" i="4"/>
  <c r="E25" i="6" s="1"/>
  <c r="N29" i="4"/>
  <c r="E29" i="6" s="1"/>
  <c r="N24" i="4"/>
  <c r="E24" i="6" s="1"/>
  <c r="N27" i="5"/>
  <c r="F27" i="6" s="1"/>
  <c r="G38" i="6"/>
  <c r="G35" i="6"/>
  <c r="G22" i="6"/>
  <c r="G20" i="6"/>
  <c r="G23" i="6"/>
  <c r="G21" i="6"/>
  <c r="G31" i="6"/>
  <c r="G34" i="6"/>
  <c r="G32" i="6"/>
  <c r="J19" i="1"/>
  <c r="C19" i="2"/>
  <c r="I19" i="2"/>
  <c r="N24" i="5"/>
  <c r="F24" i="6" s="1"/>
  <c r="S22" i="8"/>
  <c r="S40" i="8"/>
  <c r="S38" i="8"/>
  <c r="K19" i="2"/>
  <c r="R3" i="8"/>
  <c r="P3" i="8"/>
  <c r="S43" i="8"/>
  <c r="S16" i="8"/>
  <c r="S5" i="8"/>
  <c r="G19" i="3"/>
  <c r="N27" i="3"/>
  <c r="D27" i="6" s="1"/>
  <c r="P38" i="8"/>
  <c r="R38" i="8"/>
  <c r="N40" i="3"/>
  <c r="D40" i="6" s="1"/>
  <c r="N26" i="5"/>
  <c r="F26" i="6" s="1"/>
  <c r="R10" i="8"/>
  <c r="S10" i="8" s="1"/>
  <c r="P10" i="8"/>
  <c r="M19" i="2"/>
  <c r="G39" i="6"/>
  <c r="N40" i="2"/>
  <c r="C40" i="6" s="1"/>
  <c r="O10" i="8"/>
  <c r="M10" i="8"/>
  <c r="R19" i="8"/>
  <c r="P19" i="8"/>
  <c r="H19" i="2"/>
  <c r="K19" i="3"/>
  <c r="C19" i="3"/>
  <c r="B17" i="1"/>
  <c r="B6" i="1"/>
  <c r="C2" i="1"/>
  <c r="N24" i="2"/>
  <c r="C24" i="6" s="1"/>
  <c r="B19" i="2"/>
  <c r="N30" i="3"/>
  <c r="D30" i="6" s="1"/>
  <c r="N25" i="3"/>
  <c r="D25" i="6" s="1"/>
  <c r="G25" i="6" s="1"/>
  <c r="C19" i="4"/>
  <c r="N36" i="3"/>
  <c r="D36" i="6" s="1"/>
  <c r="N25" i="5"/>
  <c r="F25" i="6" s="1"/>
  <c r="S19" i="8"/>
  <c r="S44" i="8"/>
  <c r="R20" i="8"/>
  <c r="S20" i="8" s="1"/>
  <c r="P20" i="8"/>
  <c r="F19" i="1"/>
  <c r="N19" i="1" s="1"/>
  <c r="B19" i="6" s="1"/>
  <c r="N26" i="3"/>
  <c r="D26" i="6" s="1"/>
  <c r="F19" i="3"/>
  <c r="S15" i="8"/>
  <c r="G33" i="6"/>
  <c r="F19" i="2"/>
  <c r="N36" i="5"/>
  <c r="F36" i="6" s="1"/>
  <c r="H19" i="1"/>
  <c r="R13" i="8"/>
  <c r="P13" i="8"/>
  <c r="N27" i="2"/>
  <c r="C27" i="6" s="1"/>
  <c r="N29" i="3"/>
  <c r="D29" i="6" s="1"/>
  <c r="J19" i="4"/>
  <c r="N27" i="1"/>
  <c r="B27" i="6" s="1"/>
  <c r="B19" i="3"/>
  <c r="N24" i="3"/>
  <c r="D24" i="6" s="1"/>
  <c r="N26" i="4"/>
  <c r="E26" i="6" s="1"/>
  <c r="O24" i="8"/>
  <c r="M24" i="8"/>
  <c r="H19" i="4"/>
  <c r="P25" i="8"/>
  <c r="R25" i="8"/>
  <c r="S25" i="8" s="1"/>
  <c r="S51" i="8"/>
  <c r="P54" i="8"/>
  <c r="R54" i="8"/>
  <c r="S54" i="8" s="1"/>
  <c r="P63" i="8"/>
  <c r="R63" i="8"/>
  <c r="S63" i="8" s="1"/>
  <c r="H14" i="8"/>
  <c r="I14" i="8" s="1"/>
  <c r="J14" i="8" s="1"/>
  <c r="K14" i="8" s="1"/>
  <c r="L14" i="8" s="1"/>
  <c r="S14" i="8" s="1"/>
  <c r="H39" i="8"/>
  <c r="I39" i="8" s="1"/>
  <c r="J39" i="8" s="1"/>
  <c r="K39" i="8" s="1"/>
  <c r="L39" i="8" s="1"/>
  <c r="S39" i="8" s="1"/>
  <c r="O43" i="8"/>
  <c r="M43" i="8"/>
  <c r="R69" i="8"/>
  <c r="P69" i="8"/>
  <c r="O47" i="8"/>
  <c r="S47" i="8" s="1"/>
  <c r="M47" i="8"/>
  <c r="N40" i="5"/>
  <c r="F40" i="6" s="1"/>
  <c r="S21" i="8"/>
  <c r="S66" i="8"/>
  <c r="R72" i="8"/>
  <c r="S72" i="8" s="1"/>
  <c r="P72" i="8"/>
  <c r="L30" i="5"/>
  <c r="K30" i="5"/>
  <c r="K19" i="5" s="1"/>
  <c r="K30" i="4"/>
  <c r="K19" i="4" s="1"/>
  <c r="I30" i="5"/>
  <c r="I30" i="4"/>
  <c r="I19" i="4" s="1"/>
  <c r="F30" i="5"/>
  <c r="F19" i="5" s="1"/>
  <c r="F30" i="4"/>
  <c r="F19" i="4" s="1"/>
  <c r="E30" i="5"/>
  <c r="E19" i="5" s="1"/>
  <c r="E30" i="4"/>
  <c r="E19" i="4" s="1"/>
  <c r="D30" i="5"/>
  <c r="D19" i="5" s="1"/>
  <c r="D30" i="4"/>
  <c r="D19" i="4" s="1"/>
  <c r="M30" i="5"/>
  <c r="M19" i="5" s="1"/>
  <c r="L30" i="4"/>
  <c r="P9" i="8"/>
  <c r="R9" i="8"/>
  <c r="S9" i="8" s="1"/>
  <c r="R15" i="8"/>
  <c r="O21" i="8"/>
  <c r="M21" i="8"/>
  <c r="C30" i="5"/>
  <c r="P16" i="8"/>
  <c r="R16" i="8"/>
  <c r="R64" i="8"/>
  <c r="P64" i="8"/>
  <c r="S79" i="8"/>
  <c r="S35" i="8"/>
  <c r="J19" i="5"/>
  <c r="H30" i="5"/>
  <c r="M37" i="5"/>
  <c r="L37" i="4"/>
  <c r="L37" i="5"/>
  <c r="J37" i="4"/>
  <c r="I37" i="5"/>
  <c r="G37" i="4"/>
  <c r="G19" i="4" s="1"/>
  <c r="H37" i="5"/>
  <c r="F37" i="4"/>
  <c r="G37" i="5"/>
  <c r="G19" i="5" s="1"/>
  <c r="E37" i="4"/>
  <c r="D37" i="5"/>
  <c r="M37" i="4"/>
  <c r="O5" i="8"/>
  <c r="M5" i="8"/>
  <c r="R37" i="8"/>
  <c r="S37" i="8" s="1"/>
  <c r="R40" i="8"/>
  <c r="P40" i="8"/>
  <c r="P67" i="8"/>
  <c r="R67" i="8"/>
  <c r="C30" i="4"/>
  <c r="J30" i="5"/>
  <c r="P5" i="8"/>
  <c r="R26" i="8"/>
  <c r="P26" i="8"/>
  <c r="R29" i="8"/>
  <c r="S29" i="8" s="1"/>
  <c r="P29" i="8"/>
  <c r="S64" i="8"/>
  <c r="S67" i="8"/>
  <c r="N40" i="4"/>
  <c r="E40" i="6" s="1"/>
  <c r="R4" i="8"/>
  <c r="S4" i="8" s="1"/>
  <c r="P4" i="8"/>
  <c r="S55" i="8"/>
  <c r="S60" i="8"/>
  <c r="H30" i="4"/>
  <c r="N29" i="5"/>
  <c r="F29" i="6" s="1"/>
  <c r="B37" i="5"/>
  <c r="H30" i="8"/>
  <c r="I30" i="8" s="1"/>
  <c r="J30" i="8" s="1"/>
  <c r="K30" i="8" s="1"/>
  <c r="L30" i="8" s="1"/>
  <c r="S30" i="8" s="1"/>
  <c r="P33" i="8"/>
  <c r="P36" i="8"/>
  <c r="R36" i="8"/>
  <c r="S73" i="8"/>
  <c r="R80" i="8"/>
  <c r="S80" i="8" s="1"/>
  <c r="P80" i="8"/>
  <c r="R24" i="8"/>
  <c r="S24" i="8" s="1"/>
  <c r="P24" i="8"/>
  <c r="S26" i="8"/>
  <c r="R68" i="8"/>
  <c r="S68" i="8" s="1"/>
  <c r="P68" i="8"/>
  <c r="M30" i="4"/>
  <c r="M19" i="4" s="1"/>
  <c r="I19" i="5"/>
  <c r="N28" i="5"/>
  <c r="F28" i="6" s="1"/>
  <c r="E37" i="5"/>
  <c r="P11" i="8"/>
  <c r="S13" i="8"/>
  <c r="M26" i="8"/>
  <c r="P32" i="8"/>
  <c r="R32" i="8"/>
  <c r="S32" i="8" s="1"/>
  <c r="R48" i="8"/>
  <c r="S48" i="8" s="1"/>
  <c r="R51" i="8"/>
  <c r="P51" i="8"/>
  <c r="S78" i="8"/>
  <c r="N28" i="4"/>
  <c r="E28" i="6" s="1"/>
  <c r="J37" i="5"/>
  <c r="R8" i="8"/>
  <c r="S8" i="8" s="1"/>
  <c r="P8" i="8"/>
  <c r="S71" i="8"/>
  <c r="S76" i="8"/>
  <c r="S83" i="8"/>
  <c r="P53" i="8"/>
  <c r="P78" i="8"/>
  <c r="P82" i="8"/>
  <c r="H84" i="8"/>
  <c r="I84" i="8" s="1"/>
  <c r="J84" i="8" s="1"/>
  <c r="K84" i="8" s="1"/>
  <c r="L84" i="8" s="1"/>
  <c r="S84" i="8" s="1"/>
  <c r="O3" i="8"/>
  <c r="S3" i="8" s="1"/>
  <c r="O19" i="8"/>
  <c r="O35" i="8"/>
  <c r="R44" i="8"/>
  <c r="M48" i="8"/>
  <c r="P66" i="8"/>
  <c r="M81" i="8"/>
  <c r="O69" i="8"/>
  <c r="S69" i="8" s="1"/>
  <c r="M69" i="8"/>
  <c r="O73" i="8"/>
  <c r="M73" i="8"/>
  <c r="R74" i="8"/>
  <c r="S74" i="8" s="1"/>
  <c r="P74" i="8"/>
  <c r="R56" i="8"/>
  <c r="S56" i="8" s="1"/>
  <c r="P56" i="8"/>
  <c r="P65" i="8"/>
  <c r="M80" i="8"/>
  <c r="P84" i="8"/>
  <c r="H36" i="8"/>
  <c r="I36" i="8" s="1"/>
  <c r="J36" i="8" s="1"/>
  <c r="K36" i="8" s="1"/>
  <c r="L36" i="8" s="1"/>
  <c r="O51" i="8"/>
  <c r="R60" i="8"/>
  <c r="R76" i="8"/>
  <c r="P76" i="8"/>
  <c r="O37" i="8"/>
  <c r="M37" i="8"/>
  <c r="M75" i="8"/>
  <c r="H49" i="8"/>
  <c r="I49" i="8" s="1"/>
  <c r="J49" i="8" s="1"/>
  <c r="K49" i="8" s="1"/>
  <c r="L49" i="8" s="1"/>
  <c r="S49" i="8" s="1"/>
  <c r="P55" i="8"/>
  <c r="M63" i="8"/>
  <c r="P83" i="8"/>
  <c r="O85" i="8"/>
  <c r="S85" i="8" s="1"/>
  <c r="M85" i="8"/>
  <c r="P50" i="8"/>
  <c r="O67" i="8"/>
  <c r="P71" i="8"/>
  <c r="M78" i="8"/>
  <c r="P79" i="8"/>
  <c r="M82" i="8"/>
  <c r="P58" i="8"/>
  <c r="O53" i="8"/>
  <c r="S53" i="8" s="1"/>
  <c r="M53" i="8"/>
  <c r="H65" i="8"/>
  <c r="I65" i="8" s="1"/>
  <c r="J65" i="8" s="1"/>
  <c r="K65" i="8" s="1"/>
  <c r="L65" i="8" s="1"/>
  <c r="S65" i="8" s="1"/>
  <c r="N37" i="4" l="1"/>
  <c r="E37" i="6" s="1"/>
  <c r="L19" i="4"/>
  <c r="G26" i="6"/>
  <c r="H19" i="5"/>
  <c r="N30" i="5"/>
  <c r="F30" i="6" s="1"/>
  <c r="C19" i="5"/>
  <c r="L19" i="5"/>
  <c r="G24" i="6"/>
  <c r="G36" i="6"/>
  <c r="G40" i="6"/>
  <c r="G28" i="6"/>
  <c r="G29" i="6"/>
  <c r="N19" i="4"/>
  <c r="E19" i="6" s="1"/>
  <c r="B4" i="1"/>
  <c r="C5" i="1"/>
  <c r="C18" i="1"/>
  <c r="D2" i="1"/>
  <c r="C16" i="1"/>
  <c r="C17" i="1"/>
  <c r="C6" i="1"/>
  <c r="C15" i="1"/>
  <c r="B13" i="1"/>
  <c r="N37" i="5"/>
  <c r="F37" i="6" s="1"/>
  <c r="G37" i="6" s="1"/>
  <c r="B19" i="5"/>
  <c r="N30" i="4"/>
  <c r="E30" i="6" s="1"/>
  <c r="G30" i="6" s="1"/>
  <c r="S36" i="8"/>
  <c r="N19" i="3"/>
  <c r="D19" i="6" s="1"/>
  <c r="N19" i="2"/>
  <c r="C19" i="6" s="1"/>
  <c r="G27" i="6"/>
  <c r="N19" i="5" l="1"/>
  <c r="F19" i="6" s="1"/>
  <c r="G19" i="6"/>
  <c r="B12" i="1"/>
  <c r="D17" i="1"/>
  <c r="D6" i="1"/>
  <c r="D16" i="1"/>
  <c r="D5" i="1"/>
  <c r="E2" i="1"/>
  <c r="D15" i="1"/>
  <c r="D18" i="1"/>
  <c r="C14" i="1"/>
  <c r="C4" i="1"/>
  <c r="B7" i="1"/>
  <c r="E18" i="1" l="1"/>
  <c r="E15" i="1"/>
  <c r="E16" i="1"/>
  <c r="E5" i="1"/>
  <c r="F2" i="1"/>
  <c r="E6" i="1"/>
  <c r="E17" i="1"/>
  <c r="C13" i="1"/>
  <c r="C7" i="1"/>
  <c r="D14" i="1"/>
  <c r="D13" i="1" s="1"/>
  <c r="D12" i="1" s="1"/>
  <c r="D4" i="1"/>
  <c r="B8" i="1"/>
  <c r="C8" i="1" l="1"/>
  <c r="C9" i="1" s="1"/>
  <c r="F6" i="1"/>
  <c r="F5" i="1"/>
  <c r="G2" i="1"/>
  <c r="F17" i="1"/>
  <c r="F18" i="1"/>
  <c r="F15" i="1"/>
  <c r="F16" i="1"/>
  <c r="D7" i="1"/>
  <c r="D8" i="1"/>
  <c r="D9" i="1" s="1"/>
  <c r="C12" i="1"/>
  <c r="E14" i="1"/>
  <c r="E13" i="1" s="1"/>
  <c r="E12" i="1" s="1"/>
  <c r="E4" i="1"/>
  <c r="B9" i="1"/>
  <c r="B10" i="1" l="1"/>
  <c r="B41" i="1"/>
  <c r="G18" i="1"/>
  <c r="G5" i="1"/>
  <c r="H2" i="1"/>
  <c r="G17" i="1"/>
  <c r="G6" i="1"/>
  <c r="G15" i="1"/>
  <c r="G16" i="1"/>
  <c r="F14" i="1"/>
  <c r="F4" i="1"/>
  <c r="D10" i="1"/>
  <c r="D41" i="1"/>
  <c r="D42" i="1" s="1"/>
  <c r="E7" i="1"/>
  <c r="E8" i="1"/>
  <c r="E9" i="1" s="1"/>
  <c r="C41" i="1"/>
  <c r="C42" i="1" s="1"/>
  <c r="C10" i="1"/>
  <c r="F7" i="1" l="1"/>
  <c r="F8" i="1" s="1"/>
  <c r="F13" i="1"/>
  <c r="I2" i="1"/>
  <c r="H16" i="1"/>
  <c r="H6" i="1"/>
  <c r="H15" i="1"/>
  <c r="H18" i="1"/>
  <c r="H5" i="1"/>
  <c r="H17" i="1"/>
  <c r="G14" i="1"/>
  <c r="G13" i="1" s="1"/>
  <c r="G12" i="1" s="1"/>
  <c r="G4" i="1"/>
  <c r="E41" i="1"/>
  <c r="E42" i="1" s="1"/>
  <c r="E10" i="1"/>
  <c r="B42" i="1"/>
  <c r="F9" i="1" l="1"/>
  <c r="F12" i="1"/>
  <c r="G7" i="1"/>
  <c r="G8" i="1" s="1"/>
  <c r="H14" i="1"/>
  <c r="H13" i="1" s="1"/>
  <c r="H12" i="1" s="1"/>
  <c r="H4" i="1"/>
  <c r="J2" i="1"/>
  <c r="I17" i="1"/>
  <c r="I6" i="1"/>
  <c r="I15" i="1"/>
  <c r="I5" i="1"/>
  <c r="I18" i="1"/>
  <c r="I16" i="1"/>
  <c r="G9" i="1" l="1"/>
  <c r="I14" i="1"/>
  <c r="I13" i="1" s="1"/>
  <c r="I12" i="1" s="1"/>
  <c r="I4" i="1"/>
  <c r="K2" i="1"/>
  <c r="J15" i="1"/>
  <c r="J5" i="1"/>
  <c r="J6" i="1"/>
  <c r="J17" i="1"/>
  <c r="J16" i="1"/>
  <c r="J18" i="1"/>
  <c r="H7" i="1"/>
  <c r="H8" i="1" s="1"/>
  <c r="H9" i="1" s="1"/>
  <c r="F41" i="1"/>
  <c r="F10" i="1"/>
  <c r="H41" i="1" l="1"/>
  <c r="H42" i="1" s="1"/>
  <c r="H10" i="1"/>
  <c r="J14" i="1"/>
  <c r="J13" i="1" s="1"/>
  <c r="J4" i="1"/>
  <c r="F42" i="1"/>
  <c r="K17" i="1"/>
  <c r="L2" i="1"/>
  <c r="K6" i="1"/>
  <c r="K15" i="1"/>
  <c r="K18" i="1"/>
  <c r="K16" i="1"/>
  <c r="K5" i="1"/>
  <c r="I7" i="1"/>
  <c r="I8" i="1" s="1"/>
  <c r="I9" i="1" s="1"/>
  <c r="G41" i="1"/>
  <c r="G42" i="1" s="1"/>
  <c r="G10" i="1"/>
  <c r="I10" i="1" l="1"/>
  <c r="I41" i="1"/>
  <c r="I42" i="1" s="1"/>
  <c r="K14" i="1"/>
  <c r="K13" i="1" s="1"/>
  <c r="K12" i="1" s="1"/>
  <c r="K4" i="1"/>
  <c r="J12" i="1"/>
  <c r="M2" i="1"/>
  <c r="L15" i="1"/>
  <c r="L17" i="1"/>
  <c r="L6" i="1"/>
  <c r="L18" i="1"/>
  <c r="L5" i="1"/>
  <c r="L16" i="1"/>
  <c r="J8" i="1"/>
  <c r="J9" i="1" s="1"/>
  <c r="J7" i="1"/>
  <c r="L4" i="1" l="1"/>
  <c r="L14" i="1"/>
  <c r="L13" i="1" s="1"/>
  <c r="L12" i="1" s="1"/>
  <c r="K7" i="1"/>
  <c r="K8" i="1" s="1"/>
  <c r="K9" i="1" s="1"/>
  <c r="J41" i="1"/>
  <c r="J10" i="1"/>
  <c r="B2" i="2"/>
  <c r="M16" i="1"/>
  <c r="N16" i="1" s="1"/>
  <c r="B16" i="6" s="1"/>
  <c r="M6" i="1"/>
  <c r="N6" i="1" s="1"/>
  <c r="B6" i="6" s="1"/>
  <c r="M17" i="1"/>
  <c r="N17" i="1" s="1"/>
  <c r="B17" i="6" s="1"/>
  <c r="M15" i="1"/>
  <c r="N15" i="1" s="1"/>
  <c r="B15" i="6" s="1"/>
  <c r="M18" i="1"/>
  <c r="N18" i="1" s="1"/>
  <c r="B18" i="6" s="1"/>
  <c r="M5" i="1"/>
  <c r="N2" i="1"/>
  <c r="B2" i="6" s="1"/>
  <c r="K41" i="1" l="1"/>
  <c r="K42" i="1" s="1"/>
  <c r="K10" i="1"/>
  <c r="J42" i="1"/>
  <c r="L7" i="1"/>
  <c r="L8" i="1" s="1"/>
  <c r="L9" i="1" s="1"/>
  <c r="M4" i="1"/>
  <c r="M14" i="1"/>
  <c r="N5" i="1"/>
  <c r="B5" i="6" s="1"/>
  <c r="B16" i="2"/>
  <c r="B5" i="2"/>
  <c r="B17" i="2"/>
  <c r="B6" i="2"/>
  <c r="B18" i="2"/>
  <c r="C2" i="2"/>
  <c r="B15" i="2"/>
  <c r="L41" i="1" l="1"/>
  <c r="L42" i="1" s="1"/>
  <c r="L10" i="1"/>
  <c r="M7" i="1"/>
  <c r="N7" i="1" s="1"/>
  <c r="B7" i="6" s="1"/>
  <c r="M8" i="1"/>
  <c r="N4" i="1"/>
  <c r="B4" i="6" s="1"/>
  <c r="M13" i="1"/>
  <c r="N14" i="1"/>
  <c r="B14" i="6" s="1"/>
  <c r="C15" i="2"/>
  <c r="C5" i="2"/>
  <c r="C17" i="2"/>
  <c r="C18" i="2"/>
  <c r="D2" i="2"/>
  <c r="C16" i="2"/>
  <c r="C6" i="2"/>
  <c r="B14" i="2"/>
  <c r="B4" i="2"/>
  <c r="B13" i="2" l="1"/>
  <c r="B7" i="2"/>
  <c r="D16" i="2"/>
  <c r="D5" i="2"/>
  <c r="D17" i="2"/>
  <c r="D6" i="2"/>
  <c r="E2" i="2"/>
  <c r="D18" i="2"/>
  <c r="D15" i="2"/>
  <c r="M12" i="1"/>
  <c r="N12" i="1" s="1"/>
  <c r="B12" i="6" s="1"/>
  <c r="N13" i="1"/>
  <c r="B13" i="6" s="1"/>
  <c r="M9" i="1"/>
  <c r="N8" i="1"/>
  <c r="B8" i="6" s="1"/>
  <c r="C4" i="2"/>
  <c r="C14" i="2"/>
  <c r="C13" i="2" s="1"/>
  <c r="C12" i="2" s="1"/>
  <c r="B12" i="2" l="1"/>
  <c r="B8" i="2"/>
  <c r="E17" i="2"/>
  <c r="E6" i="2"/>
  <c r="E18" i="2"/>
  <c r="E15" i="2"/>
  <c r="F2" i="2"/>
  <c r="E5" i="2"/>
  <c r="E16" i="2"/>
  <c r="D14" i="2"/>
  <c r="D13" i="2" s="1"/>
  <c r="D12" i="2" s="1"/>
  <c r="D4" i="2"/>
  <c r="C7" i="2"/>
  <c r="M41" i="1"/>
  <c r="M10" i="1"/>
  <c r="N9" i="1"/>
  <c r="B9" i="6" l="1"/>
  <c r="N10" i="1"/>
  <c r="B10" i="6" s="1"/>
  <c r="B9" i="2"/>
  <c r="D7" i="2"/>
  <c r="E4" i="2"/>
  <c r="E14" i="2"/>
  <c r="M42" i="1"/>
  <c r="B42" i="6" s="1"/>
  <c r="N41" i="1"/>
  <c r="B41" i="6" s="1"/>
  <c r="C8" i="2"/>
  <c r="C9" i="2" s="1"/>
  <c r="F16" i="2"/>
  <c r="F5" i="2"/>
  <c r="F6" i="2"/>
  <c r="F18" i="2"/>
  <c r="F15" i="2"/>
  <c r="F17" i="2"/>
  <c r="G2" i="2"/>
  <c r="E13" i="2" l="1"/>
  <c r="C10" i="2"/>
  <c r="C41" i="2"/>
  <c r="C42" i="2" s="1"/>
  <c r="E7" i="2"/>
  <c r="E8" i="2" s="1"/>
  <c r="G17" i="2"/>
  <c r="G6" i="2"/>
  <c r="G18" i="2"/>
  <c r="G5" i="2"/>
  <c r="G15" i="2"/>
  <c r="G16" i="2"/>
  <c r="H2" i="2"/>
  <c r="D8" i="2"/>
  <c r="D9" i="2" s="1"/>
  <c r="B10" i="2"/>
  <c r="B41" i="2"/>
  <c r="F14" i="2"/>
  <c r="F13" i="2" s="1"/>
  <c r="F12" i="2" s="1"/>
  <c r="F4" i="2"/>
  <c r="E9" i="2" l="1"/>
  <c r="H5" i="2"/>
  <c r="H18" i="2"/>
  <c r="I2" i="2"/>
  <c r="H16" i="2"/>
  <c r="H15" i="2"/>
  <c r="H17" i="2"/>
  <c r="H6" i="2"/>
  <c r="G14" i="2"/>
  <c r="G13" i="2" s="1"/>
  <c r="G12" i="2" s="1"/>
  <c r="G4" i="2"/>
  <c r="D41" i="2"/>
  <c r="D42" i="2" s="1"/>
  <c r="D10" i="2"/>
  <c r="E12" i="2"/>
  <c r="F7" i="2"/>
  <c r="F8" i="2" s="1"/>
  <c r="B42" i="2"/>
  <c r="F9" i="2" l="1"/>
  <c r="H4" i="2"/>
  <c r="H14" i="2"/>
  <c r="G7" i="2"/>
  <c r="G8" i="2" s="1"/>
  <c r="I17" i="2"/>
  <c r="I6" i="2"/>
  <c r="I16" i="2"/>
  <c r="I15" i="2"/>
  <c r="I18" i="2"/>
  <c r="I5" i="2"/>
  <c r="J2" i="2"/>
  <c r="E10" i="2"/>
  <c r="E41" i="2"/>
  <c r="E42" i="2" s="1"/>
  <c r="G9" i="2" l="1"/>
  <c r="J18" i="2"/>
  <c r="K2" i="2"/>
  <c r="J15" i="2"/>
  <c r="J5" i="2"/>
  <c r="J17" i="2"/>
  <c r="J16" i="2"/>
  <c r="J6" i="2"/>
  <c r="H7" i="2"/>
  <c r="H8" i="2" s="1"/>
  <c r="H9" i="2" s="1"/>
  <c r="I14" i="2"/>
  <c r="I13" i="2" s="1"/>
  <c r="I12" i="2" s="1"/>
  <c r="I4" i="2"/>
  <c r="H13" i="2"/>
  <c r="F41" i="2"/>
  <c r="F10" i="2"/>
  <c r="H41" i="2" l="1"/>
  <c r="H42" i="2" s="1"/>
  <c r="H10" i="2"/>
  <c r="F42" i="2"/>
  <c r="H12" i="2"/>
  <c r="I7" i="2"/>
  <c r="I8" i="2"/>
  <c r="I9" i="2" s="1"/>
  <c r="J14" i="2"/>
  <c r="J13" i="2" s="1"/>
  <c r="J12" i="2" s="1"/>
  <c r="J4" i="2"/>
  <c r="K6" i="2"/>
  <c r="L2" i="2"/>
  <c r="K5" i="2"/>
  <c r="K17" i="2"/>
  <c r="K18" i="2"/>
  <c r="K16" i="2"/>
  <c r="K15" i="2"/>
  <c r="G10" i="2"/>
  <c r="G41" i="2"/>
  <c r="G42" i="2" s="1"/>
  <c r="K14" i="2" l="1"/>
  <c r="K13" i="2" s="1"/>
  <c r="K12" i="2" s="1"/>
  <c r="K4" i="2"/>
  <c r="J7" i="2"/>
  <c r="J8" i="2"/>
  <c r="J9" i="2" s="1"/>
  <c r="I10" i="2"/>
  <c r="I41" i="2"/>
  <c r="L18" i="2"/>
  <c r="M2" i="2"/>
  <c r="L15" i="2"/>
  <c r="L16" i="2"/>
  <c r="L17" i="2"/>
  <c r="L5" i="2"/>
  <c r="L6" i="2"/>
  <c r="L14" i="2" l="1"/>
  <c r="L13" i="2" s="1"/>
  <c r="L4" i="2"/>
  <c r="J41" i="2"/>
  <c r="J42" i="2" s="1"/>
  <c r="J10" i="2"/>
  <c r="N2" i="2"/>
  <c r="C2" i="6" s="1"/>
  <c r="B2" i="3"/>
  <c r="M15" i="2"/>
  <c r="N15" i="2" s="1"/>
  <c r="C15" i="6" s="1"/>
  <c r="M16" i="2"/>
  <c r="N16" i="2" s="1"/>
  <c r="C16" i="6" s="1"/>
  <c r="M6" i="2"/>
  <c r="N6" i="2" s="1"/>
  <c r="C6" i="6" s="1"/>
  <c r="M18" i="2"/>
  <c r="N18" i="2" s="1"/>
  <c r="C18" i="6" s="1"/>
  <c r="M5" i="2"/>
  <c r="M17" i="2"/>
  <c r="N17" i="2" s="1"/>
  <c r="C17" i="6" s="1"/>
  <c r="K7" i="2"/>
  <c r="K8" i="2" s="1"/>
  <c r="K9" i="2" s="1"/>
  <c r="I42" i="2"/>
  <c r="K41" i="2" l="1"/>
  <c r="K10" i="2"/>
  <c r="M14" i="2"/>
  <c r="M4" i="2"/>
  <c r="N5" i="2"/>
  <c r="C5" i="6" s="1"/>
  <c r="C2" i="3"/>
  <c r="B15" i="3"/>
  <c r="B16" i="3"/>
  <c r="B5" i="3"/>
  <c r="B6" i="3"/>
  <c r="B17" i="3"/>
  <c r="B18" i="3"/>
  <c r="L7" i="2"/>
  <c r="L8" i="2"/>
  <c r="L9" i="2" s="1"/>
  <c r="L12" i="2"/>
  <c r="M13" i="2" l="1"/>
  <c r="N14" i="2"/>
  <c r="C14" i="6" s="1"/>
  <c r="C15" i="3"/>
  <c r="C5" i="3"/>
  <c r="C17" i="3"/>
  <c r="C6" i="3"/>
  <c r="C18" i="3"/>
  <c r="C16" i="3"/>
  <c r="D2" i="3"/>
  <c r="M7" i="2"/>
  <c r="N7" i="2" s="1"/>
  <c r="C7" i="6" s="1"/>
  <c r="N4" i="2"/>
  <c r="C4" i="6" s="1"/>
  <c r="L41" i="2"/>
  <c r="L42" i="2" s="1"/>
  <c r="L10" i="2"/>
  <c r="B4" i="3"/>
  <c r="B14" i="3"/>
  <c r="K42" i="2"/>
  <c r="M8" i="2" l="1"/>
  <c r="E2" i="3"/>
  <c r="D15" i="3"/>
  <c r="D16" i="3"/>
  <c r="D5" i="3"/>
  <c r="D17" i="3"/>
  <c r="D18" i="3"/>
  <c r="D6" i="3"/>
  <c r="C14" i="3"/>
  <c r="C13" i="3" s="1"/>
  <c r="C12" i="3" s="1"/>
  <c r="C4" i="3"/>
  <c r="B13" i="3"/>
  <c r="B7" i="3"/>
  <c r="M12" i="2"/>
  <c r="N12" i="2" s="1"/>
  <c r="C12" i="6" s="1"/>
  <c r="N13" i="2"/>
  <c r="C13" i="6" s="1"/>
  <c r="B12" i="3" l="1"/>
  <c r="D4" i="3"/>
  <c r="D14" i="3"/>
  <c r="D13" i="3" s="1"/>
  <c r="D12" i="3" s="1"/>
  <c r="C7" i="3"/>
  <c r="C8" i="3"/>
  <c r="C9" i="3" s="1"/>
  <c r="B8" i="3"/>
  <c r="E16" i="3"/>
  <c r="E17" i="3"/>
  <c r="E6" i="3"/>
  <c r="F2" i="3"/>
  <c r="E15" i="3"/>
  <c r="E5" i="3"/>
  <c r="E18" i="3"/>
  <c r="M9" i="2"/>
  <c r="N8" i="2"/>
  <c r="C8" i="6" s="1"/>
  <c r="C41" i="3" l="1"/>
  <c r="C42" i="3" s="1"/>
  <c r="C10" i="3"/>
  <c r="D7" i="3"/>
  <c r="D8" i="3" s="1"/>
  <c r="B9" i="3"/>
  <c r="M41" i="2"/>
  <c r="M10" i="2"/>
  <c r="N9" i="2"/>
  <c r="G2" i="3"/>
  <c r="F15" i="3"/>
  <c r="F16" i="3"/>
  <c r="F5" i="3"/>
  <c r="F6" i="3"/>
  <c r="F18" i="3"/>
  <c r="F17" i="3"/>
  <c r="E14" i="3"/>
  <c r="E4" i="3"/>
  <c r="D9" i="3" l="1"/>
  <c r="G16" i="3"/>
  <c r="G5" i="3"/>
  <c r="G17" i="3"/>
  <c r="G6" i="3"/>
  <c r="G18" i="3"/>
  <c r="H2" i="3"/>
  <c r="G15" i="3"/>
  <c r="C9" i="6"/>
  <c r="N10" i="2"/>
  <c r="C10" i="6" s="1"/>
  <c r="F4" i="3"/>
  <c r="F14" i="3"/>
  <c r="F13" i="3" s="1"/>
  <c r="F12" i="3" s="1"/>
  <c r="B10" i="3"/>
  <c r="B41" i="3"/>
  <c r="M42" i="2"/>
  <c r="N42" i="2" s="1"/>
  <c r="C42" i="6" s="1"/>
  <c r="N41" i="2"/>
  <c r="C41" i="6" s="1"/>
  <c r="E7" i="3"/>
  <c r="E8" i="3" s="1"/>
  <c r="E9" i="3" s="1"/>
  <c r="E13" i="3"/>
  <c r="E41" i="3" l="1"/>
  <c r="E42" i="3" s="1"/>
  <c r="E10" i="3"/>
  <c r="F7" i="3"/>
  <c r="H15" i="3"/>
  <c r="H5" i="3"/>
  <c r="H17" i="3"/>
  <c r="H18" i="3"/>
  <c r="I2" i="3"/>
  <c r="H16" i="3"/>
  <c r="H6" i="3"/>
  <c r="G14" i="3"/>
  <c r="G13" i="3" s="1"/>
  <c r="G12" i="3" s="1"/>
  <c r="G4" i="3"/>
  <c r="E12" i="3"/>
  <c r="B42" i="3"/>
  <c r="D41" i="3"/>
  <c r="D42" i="3" s="1"/>
  <c r="D10" i="3"/>
  <c r="H4" i="3" l="1"/>
  <c r="H14" i="3"/>
  <c r="H13" i="3" s="1"/>
  <c r="H12" i="3" s="1"/>
  <c r="I16" i="3"/>
  <c r="I5" i="3"/>
  <c r="I17" i="3"/>
  <c r="I6" i="3"/>
  <c r="J2" i="3"/>
  <c r="I15" i="3"/>
  <c r="I18" i="3"/>
  <c r="F8" i="3"/>
  <c r="G7" i="3"/>
  <c r="G8" i="3" s="1"/>
  <c r="G9" i="3" s="1"/>
  <c r="J17" i="3" l="1"/>
  <c r="J6" i="3"/>
  <c r="J18" i="3"/>
  <c r="J15" i="3"/>
  <c r="J16" i="3"/>
  <c r="K2" i="3"/>
  <c r="J5" i="3"/>
  <c r="I14" i="3"/>
  <c r="I13" i="3" s="1"/>
  <c r="I4" i="3"/>
  <c r="G41" i="3"/>
  <c r="G42" i="3" s="1"/>
  <c r="G10" i="3"/>
  <c r="F9" i="3"/>
  <c r="H7" i="3"/>
  <c r="H8" i="3"/>
  <c r="H9" i="3" s="1"/>
  <c r="H10" i="3" l="1"/>
  <c r="H41" i="3"/>
  <c r="H42" i="3" s="1"/>
  <c r="I12" i="3"/>
  <c r="F41" i="3"/>
  <c r="F10" i="3"/>
  <c r="J4" i="3"/>
  <c r="J14" i="3"/>
  <c r="J13" i="3" s="1"/>
  <c r="J12" i="3" s="1"/>
  <c r="I7" i="3"/>
  <c r="I8" i="3" s="1"/>
  <c r="I9" i="3" s="1"/>
  <c r="K16" i="3"/>
  <c r="K5" i="3"/>
  <c r="K6" i="3"/>
  <c r="K18" i="3"/>
  <c r="L2" i="3"/>
  <c r="K15" i="3"/>
  <c r="K17" i="3"/>
  <c r="K14" i="3" l="1"/>
  <c r="K13" i="3" s="1"/>
  <c r="K12" i="3" s="1"/>
  <c r="K4" i="3"/>
  <c r="I41" i="3"/>
  <c r="I42" i="3" s="1"/>
  <c r="I10" i="3"/>
  <c r="J7" i="3"/>
  <c r="J8" i="3"/>
  <c r="J9" i="3" s="1"/>
  <c r="F42" i="3"/>
  <c r="L17" i="3"/>
  <c r="L6" i="3"/>
  <c r="L18" i="3"/>
  <c r="M2" i="3"/>
  <c r="L16" i="3"/>
  <c r="L15" i="3"/>
  <c r="L5" i="3"/>
  <c r="B2" i="4" l="1"/>
  <c r="M5" i="3"/>
  <c r="M18" i="3"/>
  <c r="N18" i="3" s="1"/>
  <c r="D18" i="6" s="1"/>
  <c r="N2" i="3"/>
  <c r="D2" i="6" s="1"/>
  <c r="M15" i="3"/>
  <c r="N15" i="3" s="1"/>
  <c r="D15" i="6" s="1"/>
  <c r="M16" i="3"/>
  <c r="N16" i="3" s="1"/>
  <c r="D16" i="6" s="1"/>
  <c r="M6" i="3"/>
  <c r="N6" i="3" s="1"/>
  <c r="D6" i="6" s="1"/>
  <c r="M17" i="3"/>
  <c r="N17" i="3" s="1"/>
  <c r="D17" i="6" s="1"/>
  <c r="K7" i="3"/>
  <c r="K8" i="3" s="1"/>
  <c r="K9" i="3" s="1"/>
  <c r="J10" i="3"/>
  <c r="J41" i="3"/>
  <c r="L14" i="3"/>
  <c r="L13" i="3" s="1"/>
  <c r="L12" i="3" s="1"/>
  <c r="L4" i="3"/>
  <c r="K41" i="3" l="1"/>
  <c r="K42" i="3" s="1"/>
  <c r="K10" i="3"/>
  <c r="L7" i="3"/>
  <c r="L8" i="3"/>
  <c r="L9" i="3" s="1"/>
  <c r="J42" i="3"/>
  <c r="M4" i="3"/>
  <c r="M14" i="3"/>
  <c r="N5" i="3"/>
  <c r="D5" i="6" s="1"/>
  <c r="B17" i="4"/>
  <c r="B16" i="4"/>
  <c r="B6" i="4"/>
  <c r="B18" i="4"/>
  <c r="C2" i="4"/>
  <c r="B15" i="4"/>
  <c r="B5" i="4"/>
  <c r="M13" i="3" l="1"/>
  <c r="N14" i="3"/>
  <c r="D14" i="6" s="1"/>
  <c r="M7" i="3"/>
  <c r="N7" i="3" s="1"/>
  <c r="D7" i="6" s="1"/>
  <c r="M8" i="3"/>
  <c r="N4" i="3"/>
  <c r="D4" i="6" s="1"/>
  <c r="B4" i="4"/>
  <c r="B14" i="4"/>
  <c r="C15" i="4"/>
  <c r="C16" i="4"/>
  <c r="C5" i="4"/>
  <c r="C17" i="4"/>
  <c r="C6" i="4"/>
  <c r="C18" i="4"/>
  <c r="D2" i="4"/>
  <c r="L10" i="3"/>
  <c r="L41" i="3"/>
  <c r="B13" i="4" l="1"/>
  <c r="L42" i="3"/>
  <c r="M9" i="3"/>
  <c r="N8" i="3"/>
  <c r="D8" i="6" s="1"/>
  <c r="D17" i="4"/>
  <c r="D6" i="4"/>
  <c r="D16" i="4"/>
  <c r="D5" i="4"/>
  <c r="E2" i="4"/>
  <c r="D18" i="4"/>
  <c r="D15" i="4"/>
  <c r="B7" i="4"/>
  <c r="C14" i="4"/>
  <c r="C13" i="4" s="1"/>
  <c r="C12" i="4" s="1"/>
  <c r="C4" i="4"/>
  <c r="M12" i="3"/>
  <c r="N12" i="3" s="1"/>
  <c r="D12" i="6" s="1"/>
  <c r="N13" i="3"/>
  <c r="D13" i="6" s="1"/>
  <c r="M41" i="3" l="1"/>
  <c r="M10" i="3"/>
  <c r="N9" i="3"/>
  <c r="E18" i="4"/>
  <c r="E5" i="4"/>
  <c r="E6" i="4"/>
  <c r="E15" i="4"/>
  <c r="F2" i="4"/>
  <c r="E17" i="4"/>
  <c r="E16" i="4"/>
  <c r="B12" i="4"/>
  <c r="D4" i="4"/>
  <c r="D14" i="4"/>
  <c r="D13" i="4" s="1"/>
  <c r="D12" i="4" s="1"/>
  <c r="C7" i="4"/>
  <c r="B8" i="4"/>
  <c r="F6" i="4" l="1"/>
  <c r="F16" i="4"/>
  <c r="F5" i="4"/>
  <c r="F17" i="4"/>
  <c r="F18" i="4"/>
  <c r="G2" i="4"/>
  <c r="F15" i="4"/>
  <c r="N10" i="3"/>
  <c r="D10" i="6" s="1"/>
  <c r="D9" i="6"/>
  <c r="B9" i="4"/>
  <c r="D7" i="4"/>
  <c r="D8" i="4" s="1"/>
  <c r="D9" i="4" s="1"/>
  <c r="E14" i="4"/>
  <c r="E4" i="4"/>
  <c r="C8" i="4"/>
  <c r="C9" i="4" s="1"/>
  <c r="M42" i="3"/>
  <c r="N42" i="3" s="1"/>
  <c r="D42" i="6" s="1"/>
  <c r="N41" i="3"/>
  <c r="D41" i="6" s="1"/>
  <c r="B10" i="4" l="1"/>
  <c r="B41" i="4"/>
  <c r="C10" i="4"/>
  <c r="C41" i="4"/>
  <c r="C42" i="4" s="1"/>
  <c r="D41" i="4"/>
  <c r="D42" i="4" s="1"/>
  <c r="D10" i="4"/>
  <c r="G18" i="4"/>
  <c r="G17" i="4"/>
  <c r="H2" i="4"/>
  <c r="G16" i="4"/>
  <c r="G6" i="4"/>
  <c r="G15" i="4"/>
  <c r="G5" i="4"/>
  <c r="F4" i="4"/>
  <c r="F14" i="4"/>
  <c r="F13" i="4" s="1"/>
  <c r="F12" i="4" s="1"/>
  <c r="E7" i="4"/>
  <c r="E8" i="4" s="1"/>
  <c r="E13" i="4"/>
  <c r="E9" i="4" l="1"/>
  <c r="E12" i="4"/>
  <c r="H16" i="4"/>
  <c r="H5" i="4"/>
  <c r="H17" i="4"/>
  <c r="H6" i="4"/>
  <c r="I2" i="4"/>
  <c r="H18" i="4"/>
  <c r="H15" i="4"/>
  <c r="B42" i="4"/>
  <c r="F7" i="4"/>
  <c r="F8" i="4" s="1"/>
  <c r="G14" i="4"/>
  <c r="G4" i="4"/>
  <c r="F9" i="4" l="1"/>
  <c r="G13" i="4"/>
  <c r="I17" i="4"/>
  <c r="I6" i="4"/>
  <c r="I18" i="4"/>
  <c r="I15" i="4"/>
  <c r="J2" i="4"/>
  <c r="I16" i="4"/>
  <c r="I5" i="4"/>
  <c r="H14" i="4"/>
  <c r="H13" i="4" s="1"/>
  <c r="H12" i="4" s="1"/>
  <c r="H4" i="4"/>
  <c r="G7" i="4"/>
  <c r="G8" i="4" s="1"/>
  <c r="E41" i="4"/>
  <c r="E10" i="4"/>
  <c r="G9" i="4" l="1"/>
  <c r="K2" i="4"/>
  <c r="J5" i="4"/>
  <c r="J6" i="4"/>
  <c r="J15" i="4"/>
  <c r="J16" i="4"/>
  <c r="J18" i="4"/>
  <c r="J17" i="4"/>
  <c r="G12" i="4"/>
  <c r="I14" i="4"/>
  <c r="I13" i="4" s="1"/>
  <c r="I12" i="4" s="1"/>
  <c r="I4" i="4"/>
  <c r="H7" i="4"/>
  <c r="H8" i="4" s="1"/>
  <c r="H9" i="4" s="1"/>
  <c r="E42" i="4"/>
  <c r="F41" i="4"/>
  <c r="F42" i="4" s="1"/>
  <c r="F10" i="4"/>
  <c r="H10" i="4" l="1"/>
  <c r="H41" i="4"/>
  <c r="H42" i="4" s="1"/>
  <c r="I7" i="4"/>
  <c r="I8" i="4" s="1"/>
  <c r="I9" i="4" s="1"/>
  <c r="K17" i="4"/>
  <c r="K6" i="4"/>
  <c r="K18" i="4"/>
  <c r="L2" i="4"/>
  <c r="K16" i="4"/>
  <c r="K15" i="4"/>
  <c r="K5" i="4"/>
  <c r="J14" i="4"/>
  <c r="J13" i="4" s="1"/>
  <c r="J12" i="4" s="1"/>
  <c r="J4" i="4"/>
  <c r="G41" i="4"/>
  <c r="G42" i="4" s="1"/>
  <c r="G10" i="4"/>
  <c r="K14" i="4" l="1"/>
  <c r="K13" i="4" s="1"/>
  <c r="K12" i="4" s="1"/>
  <c r="K4" i="4"/>
  <c r="L15" i="4"/>
  <c r="L18" i="4"/>
  <c r="M2" i="4"/>
  <c r="L5" i="4"/>
  <c r="L17" i="4"/>
  <c r="L16" i="4"/>
  <c r="L6" i="4"/>
  <c r="I41" i="4"/>
  <c r="I10" i="4"/>
  <c r="J7" i="4"/>
  <c r="J8" i="4" s="1"/>
  <c r="J9" i="4" s="1"/>
  <c r="J41" i="4" l="1"/>
  <c r="J42" i="4" s="1"/>
  <c r="J10" i="4"/>
  <c r="L14" i="4"/>
  <c r="L13" i="4" s="1"/>
  <c r="L12" i="4" s="1"/>
  <c r="L4" i="4"/>
  <c r="I42" i="4"/>
  <c r="M17" i="4"/>
  <c r="N17" i="4" s="1"/>
  <c r="E17" i="6" s="1"/>
  <c r="M6" i="4"/>
  <c r="N6" i="4" s="1"/>
  <c r="E6" i="6" s="1"/>
  <c r="M18" i="4"/>
  <c r="N18" i="4" s="1"/>
  <c r="E18" i="6" s="1"/>
  <c r="N2" i="4"/>
  <c r="E2" i="6" s="1"/>
  <c r="M15" i="4"/>
  <c r="N15" i="4" s="1"/>
  <c r="E15" i="6" s="1"/>
  <c r="M16" i="4"/>
  <c r="N16" i="4" s="1"/>
  <c r="E16" i="6" s="1"/>
  <c r="M5" i="4"/>
  <c r="B2" i="5"/>
  <c r="K7" i="4"/>
  <c r="K8" i="4" s="1"/>
  <c r="K9" i="4" s="1"/>
  <c r="B16" i="5" l="1"/>
  <c r="B17" i="5"/>
  <c r="B6" i="5"/>
  <c r="B5" i="5"/>
  <c r="C2" i="5"/>
  <c r="B18" i="5"/>
  <c r="B15" i="5"/>
  <c r="K41" i="4"/>
  <c r="K10" i="4"/>
  <c r="M4" i="4"/>
  <c r="M14" i="4"/>
  <c r="N5" i="4"/>
  <c r="E5" i="6" s="1"/>
  <c r="L7" i="4"/>
  <c r="L8" i="4" s="1"/>
  <c r="L9" i="4" s="1"/>
  <c r="L41" i="4" l="1"/>
  <c r="L42" i="4" s="1"/>
  <c r="L10" i="4"/>
  <c r="M7" i="4"/>
  <c r="N7" i="4" s="1"/>
  <c r="E7" i="6" s="1"/>
  <c r="N4" i="4"/>
  <c r="E4" i="6" s="1"/>
  <c r="K42" i="4"/>
  <c r="M13" i="4"/>
  <c r="N14" i="4"/>
  <c r="E14" i="6" s="1"/>
  <c r="C18" i="5"/>
  <c r="D2" i="5"/>
  <c r="C15" i="5"/>
  <c r="C5" i="5"/>
  <c r="C16" i="5"/>
  <c r="C6" i="5"/>
  <c r="C17" i="5"/>
  <c r="B4" i="5"/>
  <c r="B14" i="5"/>
  <c r="D15" i="5" l="1"/>
  <c r="D17" i="5"/>
  <c r="D5" i="5"/>
  <c r="E2" i="5"/>
  <c r="D16" i="5"/>
  <c r="D6" i="5"/>
  <c r="D18" i="5"/>
  <c r="B13" i="5"/>
  <c r="B7" i="5"/>
  <c r="B8" i="5" s="1"/>
  <c r="C4" i="5"/>
  <c r="C14" i="5"/>
  <c r="C13" i="5" s="1"/>
  <c r="C12" i="5" s="1"/>
  <c r="M12" i="4"/>
  <c r="N12" i="4" s="1"/>
  <c r="E12" i="6" s="1"/>
  <c r="N13" i="4"/>
  <c r="E13" i="6" s="1"/>
  <c r="M8" i="4"/>
  <c r="B9" i="5" l="1"/>
  <c r="B12" i="5"/>
  <c r="D14" i="5"/>
  <c r="D4" i="5"/>
  <c r="E17" i="5"/>
  <c r="E18" i="5"/>
  <c r="F2" i="5"/>
  <c r="E15" i="5"/>
  <c r="E5" i="5"/>
  <c r="E16" i="5"/>
  <c r="E6" i="5"/>
  <c r="M9" i="4"/>
  <c r="N8" i="4"/>
  <c r="E8" i="6" s="1"/>
  <c r="C7" i="5"/>
  <c r="F5" i="5" l="1"/>
  <c r="F18" i="5"/>
  <c r="G2" i="5"/>
  <c r="F16" i="5"/>
  <c r="F15" i="5"/>
  <c r="F6" i="5"/>
  <c r="F17" i="5"/>
  <c r="C8" i="5"/>
  <c r="D7" i="5"/>
  <c r="D8" i="5" s="1"/>
  <c r="D9" i="5" s="1"/>
  <c r="E14" i="5"/>
  <c r="E13" i="5" s="1"/>
  <c r="E12" i="5" s="1"/>
  <c r="E4" i="5"/>
  <c r="D13" i="5"/>
  <c r="M10" i="4"/>
  <c r="M41" i="4"/>
  <c r="N9" i="4"/>
  <c r="B41" i="5"/>
  <c r="B10" i="5"/>
  <c r="D41" i="5" l="1"/>
  <c r="D42" i="5" s="1"/>
  <c r="D10" i="5"/>
  <c r="C9" i="5"/>
  <c r="G5" i="5"/>
  <c r="G16" i="5"/>
  <c r="H2" i="5"/>
  <c r="G18" i="5"/>
  <c r="G6" i="5"/>
  <c r="G15" i="5"/>
  <c r="G17" i="5"/>
  <c r="F14" i="5"/>
  <c r="F13" i="5" s="1"/>
  <c r="F12" i="5" s="1"/>
  <c r="F4" i="5"/>
  <c r="B42" i="5"/>
  <c r="E9" i="6"/>
  <c r="N10" i="4"/>
  <c r="E10" i="6" s="1"/>
  <c r="M42" i="4"/>
  <c r="N42" i="4" s="1"/>
  <c r="E42" i="6" s="1"/>
  <c r="N41" i="4"/>
  <c r="E41" i="6" s="1"/>
  <c r="D12" i="5"/>
  <c r="E7" i="5"/>
  <c r="E8" i="5" s="1"/>
  <c r="E9" i="5" l="1"/>
  <c r="H18" i="5"/>
  <c r="H15" i="5"/>
  <c r="H16" i="5"/>
  <c r="H6" i="5"/>
  <c r="H5" i="5"/>
  <c r="I2" i="5"/>
  <c r="H17" i="5"/>
  <c r="G4" i="5"/>
  <c r="G14" i="5"/>
  <c r="G13" i="5" s="1"/>
  <c r="G12" i="5" s="1"/>
  <c r="C10" i="5"/>
  <c r="C41" i="5"/>
  <c r="F7" i="5"/>
  <c r="F8" i="5" s="1"/>
  <c r="F9" i="5" l="1"/>
  <c r="C42" i="5"/>
  <c r="G7" i="5"/>
  <c r="G8" i="5" s="1"/>
  <c r="G9" i="5" s="1"/>
  <c r="I16" i="5"/>
  <c r="I6" i="5"/>
  <c r="I18" i="5"/>
  <c r="I15" i="5"/>
  <c r="I5" i="5"/>
  <c r="I17" i="5"/>
  <c r="J2" i="5"/>
  <c r="H14" i="5"/>
  <c r="H13" i="5" s="1"/>
  <c r="H12" i="5" s="1"/>
  <c r="H4" i="5"/>
  <c r="E10" i="5"/>
  <c r="E41" i="5"/>
  <c r="E42" i="5" s="1"/>
  <c r="H7" i="5" l="1"/>
  <c r="H8" i="5" s="1"/>
  <c r="H9" i="5" s="1"/>
  <c r="I4" i="5"/>
  <c r="I14" i="5"/>
  <c r="I13" i="5" s="1"/>
  <c r="I12" i="5" s="1"/>
  <c r="J15" i="5"/>
  <c r="J5" i="5"/>
  <c r="J6" i="5"/>
  <c r="K2" i="5"/>
  <c r="J16" i="5"/>
  <c r="J18" i="5"/>
  <c r="J17" i="5"/>
  <c r="G41" i="5"/>
  <c r="G42" i="5" s="1"/>
  <c r="G10" i="5"/>
  <c r="F10" i="5"/>
  <c r="F41" i="5"/>
  <c r="F42" i="5" s="1"/>
  <c r="H10" i="5" l="1"/>
  <c r="H41" i="5"/>
  <c r="K17" i="5"/>
  <c r="K15" i="5"/>
  <c r="K5" i="5"/>
  <c r="K18" i="5"/>
  <c r="K6" i="5"/>
  <c r="L2" i="5"/>
  <c r="K16" i="5"/>
  <c r="I7" i="5"/>
  <c r="I8" i="5"/>
  <c r="I9" i="5" s="1"/>
  <c r="J4" i="5"/>
  <c r="J14" i="5"/>
  <c r="J13" i="5" s="1"/>
  <c r="J12" i="5" s="1"/>
  <c r="K14" i="5" l="1"/>
  <c r="K13" i="5" s="1"/>
  <c r="K12" i="5" s="1"/>
  <c r="K4" i="5"/>
  <c r="J7" i="5"/>
  <c r="J8" i="5" s="1"/>
  <c r="J9" i="5" s="1"/>
  <c r="L5" i="5"/>
  <c r="L16" i="5"/>
  <c r="L17" i="5"/>
  <c r="M2" i="5"/>
  <c r="L6" i="5"/>
  <c r="L15" i="5"/>
  <c r="L18" i="5"/>
  <c r="I10" i="5"/>
  <c r="I41" i="5"/>
  <c r="I42" i="5" s="1"/>
  <c r="H42" i="5"/>
  <c r="J41" i="5" l="1"/>
  <c r="J10" i="5"/>
  <c r="L14" i="5"/>
  <c r="L13" i="5" s="1"/>
  <c r="L12" i="5" s="1"/>
  <c r="L4" i="5"/>
  <c r="M6" i="5"/>
  <c r="N6" i="5" s="1"/>
  <c r="F6" i="6" s="1"/>
  <c r="G6" i="6" s="1"/>
  <c r="M17" i="5"/>
  <c r="N17" i="5" s="1"/>
  <c r="F17" i="6" s="1"/>
  <c r="G17" i="6" s="1"/>
  <c r="M5" i="5"/>
  <c r="M18" i="5"/>
  <c r="N18" i="5" s="1"/>
  <c r="F18" i="6" s="1"/>
  <c r="G18" i="6" s="1"/>
  <c r="M16" i="5"/>
  <c r="N16" i="5" s="1"/>
  <c r="F16" i="6" s="1"/>
  <c r="G16" i="6" s="1"/>
  <c r="M15" i="5"/>
  <c r="N15" i="5" s="1"/>
  <c r="F15" i="6" s="1"/>
  <c r="G15" i="6" s="1"/>
  <c r="N2" i="5"/>
  <c r="F2" i="6" s="1"/>
  <c r="K7" i="5"/>
  <c r="K8" i="5" s="1"/>
  <c r="K9" i="5" s="1"/>
  <c r="K10" i="5" l="1"/>
  <c r="K41" i="5"/>
  <c r="K42" i="5" s="1"/>
  <c r="G2" i="6"/>
  <c r="M4" i="5"/>
  <c r="M14" i="5"/>
  <c r="N5" i="5"/>
  <c r="F5" i="6" s="1"/>
  <c r="G5" i="6" s="1"/>
  <c r="L7" i="5"/>
  <c r="L8" i="5" s="1"/>
  <c r="L9" i="5" s="1"/>
  <c r="J42" i="5"/>
  <c r="L10" i="5" l="1"/>
  <c r="L41" i="5"/>
  <c r="L42" i="5" s="1"/>
  <c r="M13" i="5"/>
  <c r="N14" i="5"/>
  <c r="F14" i="6" s="1"/>
  <c r="G14" i="6" s="1"/>
  <c r="M7" i="5"/>
  <c r="N7" i="5" s="1"/>
  <c r="F7" i="6" s="1"/>
  <c r="G7" i="6" s="1"/>
  <c r="N4" i="5"/>
  <c r="F4" i="6" s="1"/>
  <c r="G4" i="6" s="1"/>
  <c r="M8" i="5" l="1"/>
  <c r="M12" i="5"/>
  <c r="N12" i="5" s="1"/>
  <c r="F12" i="6" s="1"/>
  <c r="G12" i="6" s="1"/>
  <c r="N13" i="5"/>
  <c r="F13" i="6" s="1"/>
  <c r="G13" i="6" s="1"/>
  <c r="M9" i="5" l="1"/>
  <c r="N8" i="5"/>
  <c r="F8" i="6" s="1"/>
  <c r="G8" i="6" s="1"/>
  <c r="M41" i="5" l="1"/>
  <c r="M10" i="5"/>
  <c r="N9" i="5"/>
  <c r="F9" i="6" l="1"/>
  <c r="G9" i="6" s="1"/>
  <c r="N10" i="5"/>
  <c r="F10" i="6" s="1"/>
  <c r="G10" i="6" s="1"/>
  <c r="M42" i="5"/>
  <c r="N42" i="5" s="1"/>
  <c r="F42" i="6" s="1"/>
  <c r="G42" i="6" s="1"/>
  <c r="N41" i="5"/>
  <c r="F41" i="6" s="1"/>
  <c r="G41" i="6" s="1"/>
</calcChain>
</file>

<file path=xl/sharedStrings.xml><?xml version="1.0" encoding="utf-8"?>
<sst xmlns="http://schemas.openxmlformats.org/spreadsheetml/2006/main" count="1783" uniqueCount="336">
  <si>
    <t>TOTAL</t>
  </si>
  <si>
    <t xml:space="preserve">Usuários </t>
  </si>
  <si>
    <t xml:space="preserve">Receita Total </t>
  </si>
  <si>
    <t>Receita Fixa - Mensalidade</t>
  </si>
  <si>
    <t>Receita Variável - Comissão sobre Vendas Recuperadas</t>
  </si>
  <si>
    <t>Impostos</t>
  </si>
  <si>
    <t xml:space="preserve"> Receita Líquida </t>
  </si>
  <si>
    <t>Resultado Bruto</t>
  </si>
  <si>
    <t>Margem Bruta %</t>
  </si>
  <si>
    <t>Despesa Total</t>
  </si>
  <si>
    <t>Despesas Variáveis</t>
  </si>
  <si>
    <t xml:space="preserve">         Taxas de Checkout e Plataformas</t>
  </si>
  <si>
    <t xml:space="preserve">         Servidor</t>
  </si>
  <si>
    <t xml:space="preserve">         API Oficial Whatsapp</t>
  </si>
  <si>
    <t xml:space="preserve">         Tokens GPT</t>
  </si>
  <si>
    <t xml:space="preserve">         Telefone</t>
  </si>
  <si>
    <t>Despesas Fixas</t>
  </si>
  <si>
    <t xml:space="preserve">         Pro Labore - CEO</t>
  </si>
  <si>
    <t xml:space="preserve">         Pro Labore - Operacional</t>
  </si>
  <si>
    <t xml:space="preserve">         Auxiliar de Serviços Gerais</t>
  </si>
  <si>
    <t xml:space="preserve">         Desenvolvedor</t>
  </si>
  <si>
    <t xml:space="preserve">         Gestor de Tráfego</t>
  </si>
  <si>
    <t xml:space="preserve">         Designer / Editor de Vídeo / Tecnologia</t>
  </si>
  <si>
    <t xml:space="preserve">         Customer Success</t>
  </si>
  <si>
    <t xml:space="preserve">         Vendedores</t>
  </si>
  <si>
    <t xml:space="preserve">         CRM</t>
  </si>
  <si>
    <t xml:space="preserve">         Internet / Telefonia</t>
  </si>
  <si>
    <t xml:space="preserve">         Contabilidade</t>
  </si>
  <si>
    <t xml:space="preserve">         Condominio</t>
  </si>
  <si>
    <t xml:space="preserve">         Energia Elétrica</t>
  </si>
  <si>
    <t xml:space="preserve">         Aluguel</t>
  </si>
  <si>
    <t xml:space="preserve">         Google Workspace</t>
  </si>
  <si>
    <t xml:space="preserve">         Notion</t>
  </si>
  <si>
    <t xml:space="preserve">         Treinamentos Udemy</t>
  </si>
  <si>
    <t xml:space="preserve">         Jurídico</t>
  </si>
  <si>
    <t xml:space="preserve">         Anúncios Online</t>
  </si>
  <si>
    <t>EBITDA = Lucro Líquido</t>
  </si>
  <si>
    <t>Margem Líquida %</t>
  </si>
  <si>
    <t xml:space="preserve"> Receita Bruta </t>
  </si>
  <si>
    <t>Meta de Usuários Mensal</t>
  </si>
  <si>
    <t>Taxa de Checkout</t>
  </si>
  <si>
    <t>Churn Mensal</t>
  </si>
  <si>
    <t>Anúncios Online</t>
  </si>
  <si>
    <t>Auxiliar de Serviços Gerais</t>
  </si>
  <si>
    <t>Mensalidade</t>
  </si>
  <si>
    <t>Desenvolvedor</t>
  </si>
  <si>
    <t>Gestor de Tráfego</t>
  </si>
  <si>
    <t>Comissão - Suposição Média por Cliente em (%)</t>
  </si>
  <si>
    <t>Designer / Editor de Vídeo / Tecnologia</t>
  </si>
  <si>
    <t>Customer Success</t>
  </si>
  <si>
    <t>Comissão - Suposição Média por Cliente em (R$)</t>
  </si>
  <si>
    <t>Vendedores</t>
  </si>
  <si>
    <t>CRM</t>
  </si>
  <si>
    <t>Garantia Minima Mensal</t>
  </si>
  <si>
    <t>Google Workspace</t>
  </si>
  <si>
    <t>Notion</t>
  </si>
  <si>
    <t>Mês</t>
  </si>
  <si>
    <t>Faturamento</t>
  </si>
  <si>
    <t>Pró-labore</t>
  </si>
  <si>
    <t>Salários CLT</t>
  </si>
  <si>
    <t>Custo total CLT (c/ encargos)</t>
  </si>
  <si>
    <t>RBT12</t>
  </si>
  <si>
    <t>Folha12</t>
  </si>
  <si>
    <t>Fator R</t>
  </si>
  <si>
    <t>Anexo Simples</t>
  </si>
  <si>
    <t>Alíquota Simples</t>
  </si>
  <si>
    <t>Imposto Simples</t>
  </si>
  <si>
    <t>Receita Líq Simples</t>
  </si>
  <si>
    <t>Alíquota Lucro Presumido</t>
  </si>
  <si>
    <t>Imposto Lucro Presumido</t>
  </si>
  <si>
    <t>Receita Líq Presumido</t>
  </si>
  <si>
    <t>Alíquota Lucro Real</t>
  </si>
  <si>
    <t>Imposto Lucro Real</t>
  </si>
  <si>
    <t>Receita Líq Lucro Real</t>
  </si>
  <si>
    <t>Regime Mais Econômico</t>
  </si>
  <si>
    <t>Jan '26</t>
  </si>
  <si>
    <t>Feb '26</t>
  </si>
  <si>
    <t>Mar '26</t>
  </si>
  <si>
    <t>Apr '26</t>
  </si>
  <si>
    <t>May '26</t>
  </si>
  <si>
    <t>Jun '26</t>
  </si>
  <si>
    <t>Jul '26</t>
  </si>
  <si>
    <t>Aug '26</t>
  </si>
  <si>
    <t>Sep '26</t>
  </si>
  <si>
    <t>Oct '26</t>
  </si>
  <si>
    <t>Nov '26</t>
  </si>
  <si>
    <t>Dec '26</t>
  </si>
  <si>
    <t>Jan '27</t>
  </si>
  <si>
    <t>Feb '27</t>
  </si>
  <si>
    <t>Mar '27</t>
  </si>
  <si>
    <t>Apr '27</t>
  </si>
  <si>
    <t>May '27</t>
  </si>
  <si>
    <t>Jun '27</t>
  </si>
  <si>
    <t>Jul '27</t>
  </si>
  <si>
    <t>Aug '27</t>
  </si>
  <si>
    <t>Sep '27</t>
  </si>
  <si>
    <t>Oct '27</t>
  </si>
  <si>
    <t>Nov '27</t>
  </si>
  <si>
    <t>Dec '27</t>
  </si>
  <si>
    <t>Jan '28</t>
  </si>
  <si>
    <t>Feb '28</t>
  </si>
  <si>
    <t>Mar '28</t>
  </si>
  <si>
    <t>Apr '28</t>
  </si>
  <si>
    <t>May '28</t>
  </si>
  <si>
    <t>Jun '28</t>
  </si>
  <si>
    <t>Jul '28</t>
  </si>
  <si>
    <t>Aug '28</t>
  </si>
  <si>
    <t>Sep '28</t>
  </si>
  <si>
    <t>Oct '28</t>
  </si>
  <si>
    <t>Nov '28</t>
  </si>
  <si>
    <t>Dec '28</t>
  </si>
  <si>
    <t>Jan '29</t>
  </si>
  <si>
    <t>Feb '29</t>
  </si>
  <si>
    <t>Mar '29</t>
  </si>
  <si>
    <t>Apr '29</t>
  </si>
  <si>
    <t>May '29</t>
  </si>
  <si>
    <t>Jun '29</t>
  </si>
  <si>
    <t>Jul '29</t>
  </si>
  <si>
    <t>Aug '29</t>
  </si>
  <si>
    <t>Sep '29</t>
  </si>
  <si>
    <t>Oct '29</t>
  </si>
  <si>
    <t>Nov '29</t>
  </si>
  <si>
    <t>Dec '29</t>
  </si>
  <si>
    <t>Jan '30</t>
  </si>
  <si>
    <t>Feb '30</t>
  </si>
  <si>
    <t>Mar '30</t>
  </si>
  <si>
    <t>Apr '30</t>
  </si>
  <si>
    <t>May '30</t>
  </si>
  <si>
    <t>Jun '30</t>
  </si>
  <si>
    <t>Jul '30</t>
  </si>
  <si>
    <t>Aug '30</t>
  </si>
  <si>
    <t>Sep '30</t>
  </si>
  <si>
    <t>Oct '30</t>
  </si>
  <si>
    <t>Nov '30</t>
  </si>
  <si>
    <t>Dec '30</t>
  </si>
  <si>
    <t>Jan '31</t>
  </si>
  <si>
    <t>Feb '31</t>
  </si>
  <si>
    <t>Mar '31</t>
  </si>
  <si>
    <t>Apr '31</t>
  </si>
  <si>
    <t>May '31</t>
  </si>
  <si>
    <t>Jun '31</t>
  </si>
  <si>
    <t>Jul '31</t>
  </si>
  <si>
    <t>Aug '31</t>
  </si>
  <si>
    <t>Sep '31</t>
  </si>
  <si>
    <t>Oct '31</t>
  </si>
  <si>
    <t>Nov '31</t>
  </si>
  <si>
    <t>Dec '31</t>
  </si>
  <si>
    <t>Jan '32</t>
  </si>
  <si>
    <t>Feb '32</t>
  </si>
  <si>
    <t>Mar '32</t>
  </si>
  <si>
    <t>Apr '32</t>
  </si>
  <si>
    <t>May '32</t>
  </si>
  <si>
    <t>Jun '32</t>
  </si>
  <si>
    <t>Jul '32</t>
  </si>
  <si>
    <t>Aug '32</t>
  </si>
  <si>
    <t>Sep '32</t>
  </si>
  <si>
    <t>Oct '32</t>
  </si>
  <si>
    <t>Nov '32</t>
  </si>
  <si>
    <t>Dec '32</t>
  </si>
  <si>
    <t>total</t>
  </si>
  <si>
    <t xml:space="preserve"> Ativos</t>
  </si>
  <si>
    <t xml:space="preserve">     Ativos Circulantes</t>
  </si>
  <si>
    <t xml:space="preserve">         Dinheiro</t>
  </si>
  <si>
    <t xml:space="preserve">         Contas a receber</t>
  </si>
  <si>
    <t xml:space="preserve">         Inventário</t>
  </si>
  <si>
    <t xml:space="preserve">         Outros ativos circulantes</t>
  </si>
  <si>
    <t xml:space="preserve">     Ativos de Longo Prazo</t>
  </si>
  <si>
    <t xml:space="preserve">         Ativos Brutos de Longo Prazo</t>
  </si>
  <si>
    <t xml:space="preserve">         Depreciação acumulada</t>
  </si>
  <si>
    <t xml:space="preserve"> </t>
  </si>
  <si>
    <t xml:space="preserve"> Passivo e Patrimônio Líquido</t>
  </si>
  <si>
    <t xml:space="preserve"> Passivos</t>
  </si>
  <si>
    <t xml:space="preserve">     Passivo Circulante</t>
  </si>
  <si>
    <t xml:space="preserve">         Contas a Pagar</t>
  </si>
  <si>
    <t xml:space="preserve">         Imposto de Renda a Pagar</t>
  </si>
  <si>
    <t xml:space="preserve">         Sales Tax Pagável</t>
  </si>
  <si>
    <t xml:space="preserve">         Dívida de curto prazo</t>
  </si>
  <si>
    <t xml:space="preserve">     Passivos de Longo Prazo</t>
  </si>
  <si>
    <t xml:space="preserve">         Dívida de Longo Prazo</t>
  </si>
  <si>
    <t xml:space="preserve"> Equidade</t>
  </si>
  <si>
    <t xml:space="preserve">         Capital Integralizado</t>
  </si>
  <si>
    <t xml:space="preserve">         Ações ordinárias</t>
  </si>
  <si>
    <t xml:space="preserve">         Ações preferenciais</t>
  </si>
  <si>
    <t xml:space="preserve">         Contribuição do Proprietário</t>
  </si>
  <si>
    <t xml:space="preserve">         Lucros acumulados</t>
  </si>
  <si>
    <t xml:space="preserve"> Verificar</t>
  </si>
  <si>
    <t xml:space="preserve"> Dinheiro recebido</t>
  </si>
  <si>
    <t xml:space="preserve"> Dinheiro pago</t>
  </si>
  <si>
    <t xml:space="preserve">     COS e Despesas Gerais</t>
  </si>
  <si>
    <t xml:space="preserve">     Salário e vencimentos</t>
  </si>
  <si>
    <t xml:space="preserve">     Interesse</t>
  </si>
  <si>
    <t xml:space="preserve">     Sales Tax</t>
  </si>
  <si>
    <t xml:space="preserve">     Imposto de Renda</t>
  </si>
  <si>
    <t xml:space="preserve"> Caixa Líquido das Operações</t>
  </si>
  <si>
    <t xml:space="preserve"> Venda de ativos</t>
  </si>
  <si>
    <t xml:space="preserve"> Compra de Ativos</t>
  </si>
  <si>
    <t xml:space="preserve"> Caixa Líquido de Investimentos</t>
  </si>
  <si>
    <t xml:space="preserve"> Valor recebido</t>
  </si>
  <si>
    <t xml:space="preserve">     Empréstimo recebido</t>
  </si>
  <si>
    <t xml:space="preserve">     Ações ordinárias</t>
  </si>
  <si>
    <t xml:space="preserve">     Ações preferenciais</t>
  </si>
  <si>
    <t xml:space="preserve">     Contribuição do Proprietário</t>
  </si>
  <si>
    <t xml:space="preserve"> Valor pago</t>
  </si>
  <si>
    <t xml:space="preserve">     Capital de empréstimo</t>
  </si>
  <si>
    <t xml:space="preserve">     Dividendos e Distribuições</t>
  </si>
  <si>
    <t xml:space="preserve"> Caixa Líquido de Financiamento</t>
  </si>
  <si>
    <t xml:space="preserve"> Resumo</t>
  </si>
  <si>
    <t xml:space="preserve"> Dinheiro inicial</t>
  </si>
  <si>
    <t xml:space="preserve"> Dinheiro em caixa</t>
  </si>
  <si>
    <t xml:space="preserve"> Saque</t>
  </si>
  <si>
    <t xml:space="preserve"> Troco em dinheiro</t>
  </si>
  <si>
    <t xml:space="preserve"> Fim do dinheiro</t>
  </si>
  <si>
    <t xml:space="preserve"> Receita Inicial</t>
  </si>
  <si>
    <t xml:space="preserve"> Receita Líquida</t>
  </si>
  <si>
    <t xml:space="preserve"> Receita de fechamento</t>
  </si>
  <si>
    <t xml:space="preserve"> Despesa Inicial</t>
  </si>
  <si>
    <t xml:space="preserve"> Despesa Líquida</t>
  </si>
  <si>
    <t xml:space="preserve"> Despesa de Fechamento</t>
  </si>
  <si>
    <t xml:space="preserve"> O ponto de equilíbrio é?</t>
  </si>
  <si>
    <t>Não</t>
  </si>
  <si>
    <t>Sim</t>
  </si>
  <si>
    <t xml:space="preserve"> Mês do Ponto de Equilíbrio</t>
  </si>
  <si>
    <t xml:space="preserve"> Dias necessários</t>
  </si>
  <si>
    <t>10 Dias</t>
  </si>
  <si>
    <t xml:space="preserve"> Receita de equilíbrio</t>
  </si>
  <si>
    <t xml:space="preserve"> Receita Fixa</t>
  </si>
  <si>
    <t xml:space="preserve">     Mensalidade</t>
  </si>
  <si>
    <t xml:space="preserve"> Receita Variável</t>
  </si>
  <si>
    <t xml:space="preserve">     Comissão sobre Vendas Recuperadas</t>
  </si>
  <si>
    <t xml:space="preserve"> Unidades de equilíbrio</t>
  </si>
  <si>
    <t xml:space="preserve"> Índice de Liquidez</t>
  </si>
  <si>
    <t xml:space="preserve"> Índice de liquidez corrente</t>
  </si>
  <si>
    <t xml:space="preserve"> Razão Rápida</t>
  </si>
  <si>
    <t xml:space="preserve"> Proporção de caixa</t>
  </si>
  <si>
    <t xml:space="preserve"> Índice de lucratividade</t>
  </si>
  <si>
    <t xml:space="preserve"> Razão de Margem</t>
  </si>
  <si>
    <t xml:space="preserve"> Margem Bruta (%)</t>
  </si>
  <si>
    <t xml:space="preserve"> Margem Operacional (%)</t>
  </si>
  <si>
    <t xml:space="preserve"> Margem antes dos impostos (%)</t>
  </si>
  <si>
    <t xml:space="preserve"> Margem de lucro líquido (%)</t>
  </si>
  <si>
    <t xml:space="preserve"> Margem de Fluxo de Caixa (%)</t>
  </si>
  <si>
    <t xml:space="preserve"> Taxa de retorno</t>
  </si>
  <si>
    <t xml:space="preserve"> Retorno sobre ativos (%)</t>
  </si>
  <si>
    <t xml:space="preserve"> Retorno sobre o Patrimônio Líquido (%)</t>
  </si>
  <si>
    <t xml:space="preserve"> Retorno sobre o capital empregado (%)</t>
  </si>
  <si>
    <t xml:space="preserve"> Índice de Eficiência</t>
  </si>
  <si>
    <t xml:space="preserve"> Índice de Rotatividade de Ativos</t>
  </si>
  <si>
    <t xml:space="preserve"> Taxa de rotatividade de estoque</t>
  </si>
  <si>
    <t xml:space="preserve"> Índice de rotatividade de contas a receber</t>
  </si>
  <si>
    <t xml:space="preserve"> Índice de rotatividade de contas a pagar</t>
  </si>
  <si>
    <t xml:space="preserve"> Taxa de cobertura</t>
  </si>
  <si>
    <t xml:space="preserve"> Taxa de Cobertura de Juros</t>
  </si>
  <si>
    <t xml:space="preserve"> Índice de cobertura do serviço da dívida</t>
  </si>
  <si>
    <t xml:space="preserve"> Índice de Cobertura de Ativos</t>
  </si>
  <si>
    <t xml:space="preserve"> Índice de Alavancagem</t>
  </si>
  <si>
    <t xml:space="preserve"> Relação dívida/ativos</t>
  </si>
  <si>
    <t xml:space="preserve"> Índice de Dívida/Patrimônio Líquido</t>
  </si>
  <si>
    <t xml:space="preserve"> Relação dívida/capital</t>
  </si>
  <si>
    <t xml:space="preserve"> Relação dívida/EBITDA</t>
  </si>
  <si>
    <t xml:space="preserve"> Índice de Ativos para Patrimônio Líquido</t>
  </si>
  <si>
    <t xml:space="preserve"> Funding</t>
  </si>
  <si>
    <t xml:space="preserve">     Aporte Diego AM Engenharia</t>
  </si>
  <si>
    <t xml:space="preserve">         Principal pago</t>
  </si>
  <si>
    <t xml:space="preserve">         Juros pagos</t>
  </si>
  <si>
    <t xml:space="preserve"> Dívida Total</t>
  </si>
  <si>
    <t xml:space="preserve"> Dívida de curto prazo</t>
  </si>
  <si>
    <t xml:space="preserve">     Funding</t>
  </si>
  <si>
    <t xml:space="preserve"> Dívida de Longo Prazo</t>
  </si>
  <si>
    <t xml:space="preserve"> Ativos de Longo Prazo</t>
  </si>
  <si>
    <t xml:space="preserve"> Ativos Circulantes</t>
  </si>
  <si>
    <t xml:space="preserve"> Ativos Totais</t>
  </si>
  <si>
    <t xml:space="preserve"> Ativos Brutos</t>
  </si>
  <si>
    <t xml:space="preserve"> Depreciação e Amortização</t>
  </si>
  <si>
    <t xml:space="preserve"> Total de dividendos pagos</t>
  </si>
  <si>
    <t xml:space="preserve"> Distribuição de Lucro Sócios</t>
  </si>
  <si>
    <t xml:space="preserve">     Paulo Luvisoto</t>
  </si>
  <si>
    <t xml:space="preserve">     Luis Kempe</t>
  </si>
  <si>
    <t xml:space="preserve">     Matheus Guimarães</t>
  </si>
  <si>
    <t xml:space="preserve">     Felipe Luvisoto</t>
  </si>
  <si>
    <t xml:space="preserve"> Vendas totais</t>
  </si>
  <si>
    <t xml:space="preserve">     Receita Líquida</t>
  </si>
  <si>
    <t xml:space="preserve"> Vendas em dinheiro (100%)</t>
  </si>
  <si>
    <t xml:space="preserve"> Vendas a Crédito (0%)</t>
  </si>
  <si>
    <t xml:space="preserve"> Pagamento a crédito a ser recebido</t>
  </si>
  <si>
    <t xml:space="preserve"> Dívida inadimplente (0%)</t>
  </si>
  <si>
    <t xml:space="preserve"> Pagamento a crédito recebido</t>
  </si>
  <si>
    <t xml:space="preserve"> Total de dinheiro recebido</t>
  </si>
  <si>
    <t xml:space="preserve"> Abertura de Contas a Receber</t>
  </si>
  <si>
    <t xml:space="preserve"> Variação nas Contas a Receber</t>
  </si>
  <si>
    <t xml:space="preserve"> Fechamento de Contas a Receber</t>
  </si>
  <si>
    <t xml:space="preserve"> Índice de Rotatividade de Contas a Receber</t>
  </si>
  <si>
    <t xml:space="preserve"> Relação entre contas a receber e vendas</t>
  </si>
  <si>
    <t xml:space="preserve"> Compra total (gasto)</t>
  </si>
  <si>
    <t xml:space="preserve">     COS Geral</t>
  </si>
  <si>
    <t xml:space="preserve">     Receita COS (Não Estoque)</t>
  </si>
  <si>
    <t xml:space="preserve">     Compra de estoque</t>
  </si>
  <si>
    <t xml:space="preserve">     Despesas Gerais</t>
  </si>
  <si>
    <t xml:space="preserve"> Compra a crédito (100%)</t>
  </si>
  <si>
    <t xml:space="preserve"> Compra em dinheiro (0%)</t>
  </si>
  <si>
    <t xml:space="preserve"> Pagamento a crédito pago</t>
  </si>
  <si>
    <t xml:space="preserve"> Total em dinheiro pago</t>
  </si>
  <si>
    <t xml:space="preserve"> Abertura de Contas a Pagar</t>
  </si>
  <si>
    <t xml:space="preserve"> Alteração em Contas a Pagar</t>
  </si>
  <si>
    <t xml:space="preserve"> Fechamento de Contas a Pagar</t>
  </si>
  <si>
    <t xml:space="preserve"> Proporção de vendas a pagar</t>
  </si>
  <si>
    <t xml:space="preserve"> Renda Tributável (EBT)</t>
  </si>
  <si>
    <t xml:space="preserve"> Imposto de Renda Acumulado (0%)</t>
  </si>
  <si>
    <t xml:space="preserve"> Abertura do Imposto de Renda</t>
  </si>
  <si>
    <t xml:space="preserve"> Imposto de Renda Pago (yearly)</t>
  </si>
  <si>
    <t xml:space="preserve"> Imposto de Renda a Pagar</t>
  </si>
  <si>
    <t xml:space="preserve"> Mensalidade</t>
  </si>
  <si>
    <t xml:space="preserve"> Sales Tax Abertura</t>
  </si>
  <si>
    <t xml:space="preserve"> Sales Tax Acumulado (16%)</t>
  </si>
  <si>
    <t xml:space="preserve"> Sales Tax Pago (monthly)</t>
  </si>
  <si>
    <t xml:space="preserve"> Sales Tax Pagável</t>
  </si>
  <si>
    <t xml:space="preserve"> Comissão sobre Vendas Recuperadas</t>
  </si>
  <si>
    <t xml:space="preserve"> Sales Tax Resumo</t>
  </si>
  <si>
    <t xml:space="preserve"> Sales Tax Acumulado</t>
  </si>
  <si>
    <t xml:space="preserve"> Sales Tax Pago</t>
  </si>
  <si>
    <t xml:space="preserve"> Resumo do inventário</t>
  </si>
  <si>
    <t xml:space="preserve"> Inventário de Abertura</t>
  </si>
  <si>
    <t xml:space="preserve"> Compras de estoque</t>
  </si>
  <si>
    <t xml:space="preserve"> Redução de Vendas</t>
  </si>
  <si>
    <t xml:space="preserve"> Mudança no estoque</t>
  </si>
  <si>
    <t xml:space="preserve"> Estoque final</t>
  </si>
  <si>
    <t xml:space="preserve"> Giro de estoque</t>
  </si>
  <si>
    <t xml:space="preserve"> Dias em estoque</t>
  </si>
  <si>
    <t xml:space="preserve"> Relação entre estoque e vendas</t>
  </si>
  <si>
    <t xml:space="preserve"> Total do Ativo Circulante (A)</t>
  </si>
  <si>
    <t xml:space="preserve"> Dinheiro</t>
  </si>
  <si>
    <t xml:space="preserve"> Contas a receber</t>
  </si>
  <si>
    <t xml:space="preserve"> Inventário</t>
  </si>
  <si>
    <t xml:space="preserve"> Outros ativos circulantes</t>
  </si>
  <si>
    <t xml:space="preserve"> Total do Passivo Circulante (B)</t>
  </si>
  <si>
    <t xml:space="preserve"> Contas a Pagar</t>
  </si>
  <si>
    <t xml:space="preserve"> Capital de Giro (A-B)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</si>
</sst>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\ yyyy"/>
    <numFmt numFmtId="165" formatCode="\R\$\ #,##0.00"/>
    <numFmt numFmtId="166" formatCode="[$R$ -416]#,##0.00"/>
  </numFmts>
  <fonts count="16" x14ac:knownFonts="1">
    <font>
      <sz val="11"/>
      <color theme="1"/>
      <name val="Calibri"/>
      <scheme val="minor"/>
    </font>
    <font>
      <b/>
      <sz val="15"/>
      <color rgb="FFFFFFFF"/>
      <name val="Calibri"/>
    </font>
    <font>
      <sz val="10"/>
      <color rgb="FFFFFFFF"/>
      <name val="Calibri"/>
    </font>
    <font>
      <sz val="10"/>
      <color theme="1"/>
      <name val="Calibri"/>
    </font>
    <font>
      <b/>
      <sz val="12"/>
      <color rgb="FFFFFFFF"/>
      <name val="Calibri"/>
    </font>
    <font>
      <sz val="12"/>
      <color rgb="FFFFFFFF"/>
      <name val="Calibri"/>
    </font>
    <font>
      <b/>
      <sz val="10"/>
      <color theme="1"/>
      <name val="Calibri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theme="1"/>
      <name val="Calibri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660000"/>
        <bgColor rgb="FF660000"/>
      </patternFill>
    </fill>
    <fill>
      <patternFill patternType="solid">
        <fgColor rgb="FFCC0000"/>
        <bgColor rgb="FFCC00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165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165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165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165" fontId="4" fillId="2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 wrapText="1"/>
    </xf>
    <xf numFmtId="165" fontId="1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165" fontId="5" fillId="6" borderId="0" xfId="0" applyNumberFormat="1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3" fontId="1" fillId="2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0" fontId="2" fillId="3" borderId="0" xfId="0" applyNumberFormat="1" applyFont="1" applyFill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center" vertical="center" wrapText="1"/>
    </xf>
    <xf numFmtId="165" fontId="3" fillId="4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165" fontId="1" fillId="5" borderId="0" xfId="0" applyNumberFormat="1" applyFont="1" applyFill="1" applyAlignment="1">
      <alignment horizontal="center" vertical="center" wrapText="1"/>
    </xf>
    <xf numFmtId="165" fontId="4" fillId="6" borderId="0" xfId="0" applyNumberFormat="1" applyFont="1" applyFill="1" applyAlignment="1">
      <alignment horizontal="center" vertical="center" wrapText="1"/>
    </xf>
    <xf numFmtId="165" fontId="3" fillId="4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3" fontId="10" fillId="4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10" fillId="0" borderId="0" xfId="0" applyFont="1" applyAlignment="1"/>
    <xf numFmtId="0" fontId="10" fillId="0" borderId="0" xfId="0" applyFont="1" applyAlignment="1"/>
    <xf numFmtId="4" fontId="10" fillId="0" borderId="0" xfId="0" applyNumberFormat="1" applyFont="1" applyAlignment="1"/>
    <xf numFmtId="10" fontId="10" fillId="0" borderId="0" xfId="0" applyNumberFormat="1" applyFont="1" applyAlignment="1"/>
    <xf numFmtId="10" fontId="10" fillId="7" borderId="0" xfId="0" applyNumberFormat="1" applyFont="1" applyFill="1" applyAlignment="1"/>
    <xf numFmtId="4" fontId="10" fillId="7" borderId="0" xfId="0" applyNumberFormat="1" applyFont="1" applyFill="1" applyAlignment="1"/>
    <xf numFmtId="10" fontId="10" fillId="8" borderId="0" xfId="0" applyNumberFormat="1" applyFont="1" applyFill="1" applyAlignment="1"/>
    <xf numFmtId="4" fontId="10" fillId="8" borderId="0" xfId="0" applyNumberFormat="1" applyFont="1" applyFill="1" applyAlignment="1"/>
    <xf numFmtId="10" fontId="10" fillId="9" borderId="0" xfId="0" applyNumberFormat="1" applyFont="1" applyFill="1" applyAlignment="1"/>
    <xf numFmtId="4" fontId="10" fillId="9" borderId="0" xfId="0" applyNumberFormat="1" applyFont="1" applyFill="1" applyAlignment="1"/>
    <xf numFmtId="10" fontId="10" fillId="0" borderId="0" xfId="0" applyNumberFormat="1" applyFont="1" applyAlignment="1"/>
    <xf numFmtId="0" fontId="15" fillId="0" borderId="0" xfId="0" applyFont="1"/>
    <xf numFmtId="1" fontId="10" fillId="0" borderId="0" xfId="0" applyNumberFormat="1" applyFont="1"/>
    <xf numFmtId="165" fontId="10" fillId="0" borderId="0" xfId="0" applyNumberFormat="1" applyFont="1"/>
    <xf numFmtId="2" fontId="10" fillId="0" borderId="0" xfId="0" applyNumberFormat="1" applyFont="1"/>
    <xf numFmtId="9" fontId="10" fillId="0" borderId="0" xfId="0" applyNumberFormat="1" applyFont="1"/>
    <xf numFmtId="0" fontId="9" fillId="7" borderId="0" xfId="0" applyFont="1" applyFill="1" applyAlignment="1">
      <alignment vertical="center" wrapText="1"/>
    </xf>
    <xf numFmtId="0" fontId="0" fillId="0" borderId="0" xfId="0" applyFont="1" applyAlignment="1"/>
    <xf numFmtId="166" fontId="10" fillId="7" borderId="0" xfId="0" applyNumberFormat="1" applyFont="1" applyFill="1" applyAlignment="1">
      <alignment horizontal="center" vertical="center"/>
    </xf>
    <xf numFmtId="10" fontId="10" fillId="7" borderId="0" xfId="0" applyNumberFormat="1" applyFont="1" applyFill="1" applyAlignment="1">
      <alignment horizontal="center" vertical="center"/>
    </xf>
    <xf numFmtId="166" fontId="15" fillId="7" borderId="0" xfId="0" applyNumberFormat="1" applyFont="1" applyFill="1" applyAlignment="1">
      <alignment horizontal="center" vertical="center"/>
    </xf>
    <xf numFmtId="3" fontId="10" fillId="7" borderId="0" xfId="0" applyNumberFormat="1" applyFont="1" applyFill="1" applyAlignment="1">
      <alignment horizontal="center" vertical="center"/>
    </xf>
    <xf numFmtId="10" fontId="10" fillId="4" borderId="0" xfId="0" applyNumberFormat="1" applyFont="1" applyFill="1" applyAlignment="1">
      <alignment horizontal="center" vertical="center"/>
    </xf>
    <xf numFmtId="9" fontId="13" fillId="4" borderId="0" xfId="0" applyNumberFormat="1" applyFont="1" applyFill="1" applyAlignment="1">
      <alignment horizontal="center" vertical="center"/>
    </xf>
    <xf numFmtId="166" fontId="10" fillId="4" borderId="0" xfId="0" applyNumberFormat="1" applyFont="1" applyFill="1" applyAlignment="1">
      <alignment horizontal="center" vertical="center"/>
    </xf>
    <xf numFmtId="4" fontId="0" fillId="0" borderId="0" xfId="0" applyNumberFormat="1" applyFont="1" applyAlignment="1"/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imulador Tributario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S85">
  <tableColumns count="19">
    <tableColumn id="1" xr3:uid="{00000000-0010-0000-0000-000001000000}" name="Mês"/>
    <tableColumn id="2" xr3:uid="{00000000-0010-0000-0000-000002000000}" name="Faturamento"/>
    <tableColumn id="3" xr3:uid="{00000000-0010-0000-0000-000003000000}" name="Pró-labore"/>
    <tableColumn id="4" xr3:uid="{00000000-0010-0000-0000-000004000000}" name="Salários CLT"/>
    <tableColumn id="5" xr3:uid="{00000000-0010-0000-0000-000005000000}" name="Custo total CLT (c/ encargos)"/>
    <tableColumn id="6" xr3:uid="{00000000-0010-0000-0000-000006000000}" name="RBT12"/>
    <tableColumn id="7" xr3:uid="{00000000-0010-0000-0000-000007000000}" name="Folha12"/>
    <tableColumn id="8" xr3:uid="{00000000-0010-0000-0000-000008000000}" name="Fator R"/>
    <tableColumn id="9" xr3:uid="{00000000-0010-0000-0000-000009000000}" name="Anexo Simples"/>
    <tableColumn id="10" xr3:uid="{00000000-0010-0000-0000-00000A000000}" name="Alíquota Simples"/>
    <tableColumn id="11" xr3:uid="{00000000-0010-0000-0000-00000B000000}" name="Imposto Simples"/>
    <tableColumn id="12" xr3:uid="{00000000-0010-0000-0000-00000C000000}" name="Receita Líq Simples"/>
    <tableColumn id="13" xr3:uid="{00000000-0010-0000-0000-00000D000000}" name="Alíquota Lucro Presumido"/>
    <tableColumn id="14" xr3:uid="{00000000-0010-0000-0000-00000E000000}" name="Imposto Lucro Presumido"/>
    <tableColumn id="15" xr3:uid="{00000000-0010-0000-0000-00000F000000}" name="Receita Líq Presumido"/>
    <tableColumn id="16" xr3:uid="{00000000-0010-0000-0000-000010000000}" name="Alíquota Lucro Real"/>
    <tableColumn id="17" xr3:uid="{00000000-0010-0000-0000-000011000000}" name="Imposto Lucro Real"/>
    <tableColumn id="18" xr3:uid="{00000000-0010-0000-0000-000012000000}" name="Receita Líq Lucro Real"/>
    <tableColumn id="19" xr3:uid="{00000000-0010-0000-0000-000013000000}" name="Regime Mais Econômico"/>
  </tableColumns>
  <tableStyleInfo name="Simulador Tribut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tabSelected="1" workbookViewId="0">
      <selection activeCell="J45" sqref="J45"/>
    </sheetView>
  </sheetViews>
  <sheetFormatPr defaultColWidth="14.44140625" defaultRowHeight="15" customHeight="1" x14ac:dyDescent="0.3"/>
  <cols>
    <col min="1" max="1" width="44.33203125" bestFit="1" customWidth="1"/>
    <col min="2" max="2" width="17.5546875" bestFit="1" customWidth="1"/>
    <col min="3" max="3" width="18.5546875" bestFit="1" customWidth="1"/>
    <col min="4" max="8" width="17.5546875" bestFit="1" customWidth="1"/>
    <col min="9" max="9" width="16.5546875" bestFit="1" customWidth="1"/>
    <col min="10" max="10" width="19" bestFit="1" customWidth="1"/>
    <col min="11" max="11" width="17.33203125" customWidth="1"/>
    <col min="12" max="12" width="19.6640625" customWidth="1"/>
    <col min="13" max="13" width="19.44140625" customWidth="1"/>
    <col min="14" max="14" width="19" bestFit="1" customWidth="1"/>
  </cols>
  <sheetData>
    <row r="1" spans="1:15" ht="33" customHeight="1" x14ac:dyDescent="0.3">
      <c r="A1" s="1"/>
      <c r="B1" s="2">
        <v>46023</v>
      </c>
      <c r="C1" s="2">
        <v>46054</v>
      </c>
      <c r="D1" s="2">
        <v>46082</v>
      </c>
      <c r="E1" s="2">
        <v>46113</v>
      </c>
      <c r="F1" s="2">
        <v>46143</v>
      </c>
      <c r="G1" s="2">
        <v>46174</v>
      </c>
      <c r="H1" s="2">
        <v>46204</v>
      </c>
      <c r="I1" s="2">
        <v>46235</v>
      </c>
      <c r="J1" s="2">
        <v>46266</v>
      </c>
      <c r="K1" s="2">
        <v>46296</v>
      </c>
      <c r="L1" s="2">
        <v>46327</v>
      </c>
      <c r="M1" s="2">
        <v>46357</v>
      </c>
      <c r="N1" s="3" t="s">
        <v>0</v>
      </c>
    </row>
    <row r="2" spans="1:15" ht="33" customHeight="1" x14ac:dyDescent="0.3">
      <c r="A2" s="4" t="s">
        <v>1</v>
      </c>
      <c r="B2" s="3">
        <f>Dados!B1</f>
        <v>10</v>
      </c>
      <c r="C2" s="3">
        <f>ROUNDDOWN(Dados!$B$1+(B2-(B2*Dados!$B$3)),0)</f>
        <v>19</v>
      </c>
      <c r="D2" s="3">
        <f>ROUNDDOWN(Dados!$B$1+(C2-(C2*Dados!$B$3)),0)</f>
        <v>28</v>
      </c>
      <c r="E2" s="3">
        <f>ROUNDDOWN(Dados!$B$1+(D2-(D2*Dados!$B$3)),0)</f>
        <v>37</v>
      </c>
      <c r="F2" s="3">
        <f>ROUNDDOWN(Dados!$B$1+(E2-(E2*Dados!$B$3)),0)</f>
        <v>46</v>
      </c>
      <c r="G2" s="3">
        <f>ROUNDDOWN(Dados!$B$1+(F2-(F2*Dados!$B$3)),0)</f>
        <v>55</v>
      </c>
      <c r="H2" s="3">
        <f>ROUNDDOWN(Dados!$B$1+(G2-(G2*Dados!$B$3)),0)</f>
        <v>63</v>
      </c>
      <c r="I2" s="3">
        <f>ROUNDDOWN(Dados!$B$1+(H2-(H2*Dados!$B$3)),0)</f>
        <v>71</v>
      </c>
      <c r="J2" s="3">
        <f>ROUNDDOWN(Dados!$B$1+(I2-(I2*Dados!$B$3)),0)</f>
        <v>79</v>
      </c>
      <c r="K2" s="3">
        <f>ROUNDDOWN(Dados!$B$1+(J2-(J2*Dados!$B$3)),0)</f>
        <v>87</v>
      </c>
      <c r="L2" s="3">
        <f>ROUNDDOWN(Dados!$B$1+(K2-(K2*Dados!$B$3)),0)</f>
        <v>95</v>
      </c>
      <c r="M2" s="3">
        <f>ROUNDDOWN(Dados!$B$1+(L2-(L2*Dados!$B$3)),0)</f>
        <v>103</v>
      </c>
      <c r="N2" s="3">
        <f>M2</f>
        <v>103</v>
      </c>
    </row>
    <row r="3" spans="1:15" ht="6" customHeight="1" x14ac:dyDescent="0.3"/>
    <row r="4" spans="1:15" ht="27" customHeight="1" x14ac:dyDescent="0.3">
      <c r="A4" s="4" t="s">
        <v>2</v>
      </c>
      <c r="B4" s="5">
        <f t="shared" ref="B4:M4" si="0">ROUND(B5+B6,2)</f>
        <v>8358</v>
      </c>
      <c r="C4" s="5">
        <f t="shared" si="0"/>
        <v>15880.2</v>
      </c>
      <c r="D4" s="5">
        <f t="shared" si="0"/>
        <v>23402.400000000001</v>
      </c>
      <c r="E4" s="5">
        <f t="shared" si="0"/>
        <v>30924.6</v>
      </c>
      <c r="F4" s="5">
        <f t="shared" si="0"/>
        <v>38446.800000000003</v>
      </c>
      <c r="G4" s="5">
        <f t="shared" si="0"/>
        <v>45969</v>
      </c>
      <c r="H4" s="5">
        <f t="shared" si="0"/>
        <v>52655.4</v>
      </c>
      <c r="I4" s="5">
        <f t="shared" si="0"/>
        <v>59341.8</v>
      </c>
      <c r="J4" s="5">
        <f t="shared" si="0"/>
        <v>66028.2</v>
      </c>
      <c r="K4" s="5">
        <f t="shared" si="0"/>
        <v>72714.600000000006</v>
      </c>
      <c r="L4" s="5">
        <f t="shared" si="0"/>
        <v>79401</v>
      </c>
      <c r="M4" s="5">
        <f t="shared" si="0"/>
        <v>86087.4</v>
      </c>
      <c r="N4" s="5">
        <f t="shared" ref="N4:N9" si="1">ROUND(SUM(B4:M4),2)</f>
        <v>579209.4</v>
      </c>
    </row>
    <row r="5" spans="1:15" ht="14.4" x14ac:dyDescent="0.3">
      <c r="A5" s="6" t="s">
        <v>3</v>
      </c>
      <c r="B5" s="7">
        <f>ROUND(B2*Dados!$B$5,0)</f>
        <v>5970</v>
      </c>
      <c r="C5" s="7">
        <f>ROUND(C2*Dados!$B$5,0)</f>
        <v>11343</v>
      </c>
      <c r="D5" s="7">
        <f>ROUND(D2*Dados!$B$5,0)</f>
        <v>16716</v>
      </c>
      <c r="E5" s="7">
        <f>ROUND(E2*Dados!$B$5,0)</f>
        <v>22089</v>
      </c>
      <c r="F5" s="7">
        <f>ROUND(F2*Dados!$B$5,0)</f>
        <v>27462</v>
      </c>
      <c r="G5" s="7">
        <f>ROUND(G2*Dados!$B$5,0)</f>
        <v>32835</v>
      </c>
      <c r="H5" s="7">
        <f>ROUND(H2*Dados!$B$5,0)</f>
        <v>37611</v>
      </c>
      <c r="I5" s="7">
        <f>ROUND(I2*Dados!$B$5,0)</f>
        <v>42387</v>
      </c>
      <c r="J5" s="7">
        <f>ROUND(J2*Dados!$B$5,0)</f>
        <v>47163</v>
      </c>
      <c r="K5" s="7">
        <f>ROUND(K2*Dados!$B$5,0)</f>
        <v>51939</v>
      </c>
      <c r="L5" s="7">
        <f>ROUND(L2*Dados!$B$5,0)</f>
        <v>56715</v>
      </c>
      <c r="M5" s="7">
        <f>ROUND(M2*Dados!$B$5,0)</f>
        <v>61491</v>
      </c>
      <c r="N5" s="7">
        <f t="shared" si="1"/>
        <v>413721</v>
      </c>
    </row>
    <row r="6" spans="1:15" ht="14.4" x14ac:dyDescent="0.3">
      <c r="A6" s="6" t="s">
        <v>4</v>
      </c>
      <c r="B6" s="7">
        <f>IF(Dados!$B$9&gt;0,Dados!$B$9*B2,ROUND(B2*(Dados!$B$11*Dados!$B$7),2))</f>
        <v>2388</v>
      </c>
      <c r="C6" s="7">
        <f>IF(Dados!$B$9&gt;0,Dados!$B$9*C2,ROUND(C2*(Dados!$B$11*Dados!$B$7),2))</f>
        <v>4537.2</v>
      </c>
      <c r="D6" s="7">
        <f>IF(Dados!$B$9&gt;0,Dados!$B$9*D2,ROUND(D2*(Dados!$B$11*Dados!$B$7),2))</f>
        <v>6686.4</v>
      </c>
      <c r="E6" s="7">
        <f>IF(Dados!$B$9&gt;0,Dados!$B$9*E2,ROUND(E2*(Dados!$B$11*Dados!$B$7),2))</f>
        <v>8835.6</v>
      </c>
      <c r="F6" s="7">
        <f>IF(Dados!$B$9&gt;0,Dados!$B$9*F2,ROUND(F2*(Dados!$B$11*Dados!$B$7),2))</f>
        <v>10984.8</v>
      </c>
      <c r="G6" s="7">
        <f>IF(Dados!$B$9&gt;0,Dados!$B$9*G2,ROUND(G2*(Dados!$B$11*Dados!$B$7),2))</f>
        <v>13134</v>
      </c>
      <c r="H6" s="7">
        <f>IF(Dados!$B$9&gt;0,Dados!$B$9*H2,ROUND(H2*(Dados!$B$11*Dados!$B$7),2))</f>
        <v>15044.4</v>
      </c>
      <c r="I6" s="7">
        <f>IF(Dados!$B$9&gt;0,Dados!$B$9*I2,ROUND(I2*(Dados!$B$11*Dados!$B$7),2))</f>
        <v>16954.8</v>
      </c>
      <c r="J6" s="7">
        <f>IF(Dados!$B$9&gt;0,Dados!$B$9*J2,ROUND(J2*(Dados!$B$11*Dados!$B$7),2))</f>
        <v>18865.2</v>
      </c>
      <c r="K6" s="7">
        <f>IF(Dados!$B$9&gt;0,Dados!$B$9*K2,ROUND(K2*(Dados!$B$11*Dados!$B$7),2))</f>
        <v>20775.599999999999</v>
      </c>
      <c r="L6" s="7">
        <f>IF(Dados!$B$9&gt;0,Dados!$B$9*L2,ROUND(L2*(Dados!$B$11*Dados!$B$7),2))</f>
        <v>22686</v>
      </c>
      <c r="M6" s="7">
        <f>IF(Dados!$B$9&gt;0,Dados!$B$9*M2,ROUND(M2*(Dados!$B$11*Dados!$B$7),2))</f>
        <v>24596.400000000001</v>
      </c>
      <c r="N6" s="7">
        <f t="shared" si="1"/>
        <v>165488.4</v>
      </c>
    </row>
    <row r="7" spans="1:15" ht="14.4" x14ac:dyDescent="0.3">
      <c r="A7" s="8" t="s">
        <v>5</v>
      </c>
      <c r="B7" s="9">
        <f>B4*Dados!$E$2</f>
        <v>1337.28</v>
      </c>
      <c r="C7" s="9">
        <f>C4*Dados!$E$2</f>
        <v>2540.8320000000003</v>
      </c>
      <c r="D7" s="9">
        <f>D4*Dados!$E$2</f>
        <v>3744.3840000000005</v>
      </c>
      <c r="E7" s="9">
        <f>E4*Dados!$E$2</f>
        <v>4947.9359999999997</v>
      </c>
      <c r="F7" s="9">
        <f>F4*Dados!$E$2</f>
        <v>6151.4880000000003</v>
      </c>
      <c r="G7" s="9">
        <f>G4*Dados!$E$2</f>
        <v>7355.04</v>
      </c>
      <c r="H7" s="9">
        <f>H4*Dados!$E$2</f>
        <v>8424.8639999999996</v>
      </c>
      <c r="I7" s="9">
        <f>I4*Dados!$E$2</f>
        <v>9494.6880000000001</v>
      </c>
      <c r="J7" s="9">
        <f>J4*Dados!$E$2</f>
        <v>10564.512000000001</v>
      </c>
      <c r="K7" s="9">
        <f>K4*Dados!$E$2</f>
        <v>11634.336000000001</v>
      </c>
      <c r="L7" s="9">
        <f>L4*Dados!$E$2</f>
        <v>12704.16</v>
      </c>
      <c r="M7" s="9">
        <f>M4*Dados!$E$2</f>
        <v>13773.983999999999</v>
      </c>
      <c r="N7" s="10">
        <f t="shared" si="1"/>
        <v>92673.5</v>
      </c>
    </row>
    <row r="8" spans="1:15" ht="21" customHeight="1" x14ac:dyDescent="0.3">
      <c r="A8" s="11" t="s">
        <v>6</v>
      </c>
      <c r="B8" s="12">
        <f t="shared" ref="B8:M8" si="2">B4-B7</f>
        <v>7020.72</v>
      </c>
      <c r="C8" s="12">
        <f t="shared" si="2"/>
        <v>13339.368</v>
      </c>
      <c r="D8" s="12">
        <f t="shared" si="2"/>
        <v>19658.016</v>
      </c>
      <c r="E8" s="12">
        <f t="shared" si="2"/>
        <v>25976.663999999997</v>
      </c>
      <c r="F8" s="12">
        <f t="shared" si="2"/>
        <v>32295.312000000002</v>
      </c>
      <c r="G8" s="12">
        <f t="shared" si="2"/>
        <v>38613.96</v>
      </c>
      <c r="H8" s="12">
        <f t="shared" si="2"/>
        <v>44230.536</v>
      </c>
      <c r="I8" s="12">
        <f t="shared" si="2"/>
        <v>49847.112000000001</v>
      </c>
      <c r="J8" s="12">
        <f t="shared" si="2"/>
        <v>55463.687999999995</v>
      </c>
      <c r="K8" s="12">
        <f t="shared" si="2"/>
        <v>61080.264000000003</v>
      </c>
      <c r="L8" s="12">
        <f t="shared" si="2"/>
        <v>66696.84</v>
      </c>
      <c r="M8" s="12">
        <f t="shared" si="2"/>
        <v>72313.415999999997</v>
      </c>
      <c r="N8" s="12">
        <f t="shared" si="1"/>
        <v>486535.9</v>
      </c>
    </row>
    <row r="9" spans="1:15" ht="21" customHeight="1" x14ac:dyDescent="0.3">
      <c r="A9" s="11" t="s">
        <v>7</v>
      </c>
      <c r="B9" s="12">
        <f t="shared" ref="B9:M9" si="3">ROUND(B8-B14-B15-B16-B17-B18,2)</f>
        <v>4222.22</v>
      </c>
      <c r="C9" s="12">
        <f t="shared" si="3"/>
        <v>8022.22</v>
      </c>
      <c r="D9" s="12">
        <f t="shared" si="3"/>
        <v>11822.22</v>
      </c>
      <c r="E9" s="12">
        <f t="shared" si="3"/>
        <v>15622.21</v>
      </c>
      <c r="F9" s="12">
        <f t="shared" si="3"/>
        <v>19422.21</v>
      </c>
      <c r="G9" s="12">
        <f t="shared" si="3"/>
        <v>23222.21</v>
      </c>
      <c r="H9" s="12">
        <f t="shared" si="3"/>
        <v>26599.99</v>
      </c>
      <c r="I9" s="12">
        <f t="shared" si="3"/>
        <v>29977.759999999998</v>
      </c>
      <c r="J9" s="12">
        <f t="shared" si="3"/>
        <v>33355.54</v>
      </c>
      <c r="K9" s="12">
        <f t="shared" si="3"/>
        <v>36733.31</v>
      </c>
      <c r="L9" s="12">
        <f t="shared" si="3"/>
        <v>40111.089999999997</v>
      </c>
      <c r="M9" s="12">
        <f t="shared" si="3"/>
        <v>43488.87</v>
      </c>
      <c r="N9" s="12">
        <f t="shared" si="1"/>
        <v>292599.84999999998</v>
      </c>
    </row>
    <row r="10" spans="1:15" ht="14.4" x14ac:dyDescent="0.3">
      <c r="A10" s="6" t="s">
        <v>8</v>
      </c>
      <c r="B10" s="13">
        <f t="shared" ref="B10:N10" si="4">IFERROR(ROUND(B9/B4,2),0)</f>
        <v>0.51</v>
      </c>
      <c r="C10" s="13">
        <f t="shared" si="4"/>
        <v>0.51</v>
      </c>
      <c r="D10" s="13">
        <f t="shared" si="4"/>
        <v>0.51</v>
      </c>
      <c r="E10" s="13">
        <f t="shared" si="4"/>
        <v>0.51</v>
      </c>
      <c r="F10" s="13">
        <f t="shared" si="4"/>
        <v>0.51</v>
      </c>
      <c r="G10" s="13">
        <f t="shared" si="4"/>
        <v>0.51</v>
      </c>
      <c r="H10" s="13">
        <f t="shared" si="4"/>
        <v>0.51</v>
      </c>
      <c r="I10" s="13">
        <f t="shared" si="4"/>
        <v>0.51</v>
      </c>
      <c r="J10" s="13">
        <f t="shared" si="4"/>
        <v>0.51</v>
      </c>
      <c r="K10" s="13">
        <f t="shared" si="4"/>
        <v>0.51</v>
      </c>
      <c r="L10" s="13">
        <f t="shared" si="4"/>
        <v>0.51</v>
      </c>
      <c r="M10" s="13">
        <f t="shared" si="4"/>
        <v>0.51</v>
      </c>
      <c r="N10" s="13">
        <f t="shared" si="4"/>
        <v>0.51</v>
      </c>
    </row>
    <row r="11" spans="1:15" ht="6" customHeight="1" x14ac:dyDescent="0.3"/>
    <row r="12" spans="1:15" ht="27" customHeight="1" x14ac:dyDescent="0.3">
      <c r="A12" s="14" t="s">
        <v>9</v>
      </c>
      <c r="B12" s="15">
        <f t="shared" ref="B12:M12" si="5">ROUND(SUM(B13,B19),2)</f>
        <v>42546.5</v>
      </c>
      <c r="C12" s="15">
        <f t="shared" si="5"/>
        <v>45097.15</v>
      </c>
      <c r="D12" s="15">
        <f t="shared" si="5"/>
        <v>47615.8</v>
      </c>
      <c r="E12" s="15">
        <f t="shared" si="5"/>
        <v>50134.45</v>
      </c>
      <c r="F12" s="15">
        <f t="shared" si="5"/>
        <v>52653.1</v>
      </c>
      <c r="G12" s="15">
        <f t="shared" si="5"/>
        <v>55171.75</v>
      </c>
      <c r="H12" s="15">
        <f t="shared" si="5"/>
        <v>57410.55</v>
      </c>
      <c r="I12" s="15">
        <f t="shared" si="5"/>
        <v>59649.35</v>
      </c>
      <c r="J12" s="15">
        <f t="shared" si="5"/>
        <v>61888.15</v>
      </c>
      <c r="K12" s="15">
        <f t="shared" si="5"/>
        <v>64126.95</v>
      </c>
      <c r="L12" s="15">
        <f t="shared" si="5"/>
        <v>66365.75</v>
      </c>
      <c r="M12" s="15">
        <f t="shared" si="5"/>
        <v>68604.55</v>
      </c>
      <c r="N12" s="15">
        <f t="shared" ref="N12:N41" si="6">ROUND(SUM(B12:M12),2)</f>
        <v>671264.05</v>
      </c>
      <c r="O12" s="70">
        <f>N12-N8</f>
        <v>184728.15000000002</v>
      </c>
    </row>
    <row r="13" spans="1:15" ht="21" customHeight="1" x14ac:dyDescent="0.3">
      <c r="A13" s="16" t="s">
        <v>10</v>
      </c>
      <c r="B13" s="17">
        <f t="shared" ref="B13:M13" si="7">B14+B15+B16+B17+B18</f>
        <v>2798.5</v>
      </c>
      <c r="C13" s="17">
        <f t="shared" si="7"/>
        <v>5317.15</v>
      </c>
      <c r="D13" s="17">
        <f t="shared" si="7"/>
        <v>7835.8</v>
      </c>
      <c r="E13" s="17">
        <f t="shared" si="7"/>
        <v>10354.450000000001</v>
      </c>
      <c r="F13" s="17">
        <f t="shared" si="7"/>
        <v>12873.1</v>
      </c>
      <c r="G13" s="17">
        <f t="shared" si="7"/>
        <v>15391.75</v>
      </c>
      <c r="H13" s="17">
        <f t="shared" si="7"/>
        <v>17630.55</v>
      </c>
      <c r="I13" s="17">
        <f t="shared" si="7"/>
        <v>19869.349999999999</v>
      </c>
      <c r="J13" s="17">
        <f t="shared" si="7"/>
        <v>22108.15</v>
      </c>
      <c r="K13" s="17">
        <f t="shared" si="7"/>
        <v>24346.95</v>
      </c>
      <c r="L13" s="17">
        <f t="shared" si="7"/>
        <v>26585.75</v>
      </c>
      <c r="M13" s="17">
        <f t="shared" si="7"/>
        <v>28824.55</v>
      </c>
      <c r="N13" s="18">
        <f t="shared" si="6"/>
        <v>193936.05</v>
      </c>
    </row>
    <row r="14" spans="1:15" ht="14.4" x14ac:dyDescent="0.3">
      <c r="A14" s="8" t="s">
        <v>11</v>
      </c>
      <c r="B14" s="10">
        <f>B5*Dados!$E$1</f>
        <v>298.5</v>
      </c>
      <c r="C14" s="10">
        <f>C5*Dados!$E$1</f>
        <v>567.15</v>
      </c>
      <c r="D14" s="10">
        <f>D5*Dados!$E$1</f>
        <v>835.80000000000007</v>
      </c>
      <c r="E14" s="10">
        <f>E5*Dados!$E$1</f>
        <v>1104.45</v>
      </c>
      <c r="F14" s="10">
        <f>F5*Dados!$E$1</f>
        <v>1373.1000000000001</v>
      </c>
      <c r="G14" s="10">
        <f>G5*Dados!$E$1</f>
        <v>1641.75</v>
      </c>
      <c r="H14" s="10">
        <f>H5*Dados!$E$1</f>
        <v>1880.5500000000002</v>
      </c>
      <c r="I14" s="10">
        <f>I5*Dados!$E$1</f>
        <v>2119.35</v>
      </c>
      <c r="J14" s="10">
        <f>J5*Dados!$E$1</f>
        <v>2358.15</v>
      </c>
      <c r="K14" s="10">
        <f>K5*Dados!$E$1</f>
        <v>2596.9500000000003</v>
      </c>
      <c r="L14" s="10">
        <f>L5*Dados!$E$1</f>
        <v>2835.75</v>
      </c>
      <c r="M14" s="10">
        <f>M5*Dados!$E$1</f>
        <v>3074.55</v>
      </c>
      <c r="N14" s="10">
        <f t="shared" si="6"/>
        <v>20686.05</v>
      </c>
    </row>
    <row r="15" spans="1:15" ht="14.4" x14ac:dyDescent="0.3">
      <c r="A15" s="19" t="s">
        <v>12</v>
      </c>
      <c r="B15" s="10">
        <f t="shared" ref="B15:M15" si="8">10*B2</f>
        <v>100</v>
      </c>
      <c r="C15" s="10">
        <f t="shared" si="8"/>
        <v>190</v>
      </c>
      <c r="D15" s="10">
        <f t="shared" si="8"/>
        <v>280</v>
      </c>
      <c r="E15" s="10">
        <f t="shared" si="8"/>
        <v>370</v>
      </c>
      <c r="F15" s="10">
        <f t="shared" si="8"/>
        <v>460</v>
      </c>
      <c r="G15" s="10">
        <f t="shared" si="8"/>
        <v>550</v>
      </c>
      <c r="H15" s="10">
        <f t="shared" si="8"/>
        <v>630</v>
      </c>
      <c r="I15" s="10">
        <f t="shared" si="8"/>
        <v>710</v>
      </c>
      <c r="J15" s="10">
        <f t="shared" si="8"/>
        <v>790</v>
      </c>
      <c r="K15" s="10">
        <f t="shared" si="8"/>
        <v>870</v>
      </c>
      <c r="L15" s="10">
        <f t="shared" si="8"/>
        <v>950</v>
      </c>
      <c r="M15" s="10">
        <f t="shared" si="8"/>
        <v>1030</v>
      </c>
      <c r="N15" s="10">
        <f t="shared" si="6"/>
        <v>6930</v>
      </c>
    </row>
    <row r="16" spans="1:15" ht="14.4" x14ac:dyDescent="0.3">
      <c r="A16" s="19" t="s">
        <v>13</v>
      </c>
      <c r="B16" s="10">
        <f t="shared" ref="B16:M16" si="9">200*B2</f>
        <v>2000</v>
      </c>
      <c r="C16" s="10">
        <f t="shared" si="9"/>
        <v>3800</v>
      </c>
      <c r="D16" s="10">
        <f t="shared" si="9"/>
        <v>5600</v>
      </c>
      <c r="E16" s="10">
        <f t="shared" si="9"/>
        <v>7400</v>
      </c>
      <c r="F16" s="10">
        <f t="shared" si="9"/>
        <v>9200</v>
      </c>
      <c r="G16" s="10">
        <f t="shared" si="9"/>
        <v>11000</v>
      </c>
      <c r="H16" s="10">
        <f t="shared" si="9"/>
        <v>12600</v>
      </c>
      <c r="I16" s="10">
        <f t="shared" si="9"/>
        <v>14200</v>
      </c>
      <c r="J16" s="10">
        <f t="shared" si="9"/>
        <v>15800</v>
      </c>
      <c r="K16" s="10">
        <f t="shared" si="9"/>
        <v>17400</v>
      </c>
      <c r="L16" s="10">
        <f t="shared" si="9"/>
        <v>19000</v>
      </c>
      <c r="M16" s="10">
        <f t="shared" si="9"/>
        <v>20600</v>
      </c>
      <c r="N16" s="10">
        <f t="shared" si="6"/>
        <v>138600</v>
      </c>
    </row>
    <row r="17" spans="1:14" ht="14.4" x14ac:dyDescent="0.3">
      <c r="A17" s="19" t="s">
        <v>14</v>
      </c>
      <c r="B17" s="10">
        <f t="shared" ref="B17:M17" si="10">10*B2</f>
        <v>100</v>
      </c>
      <c r="C17" s="10">
        <f t="shared" si="10"/>
        <v>190</v>
      </c>
      <c r="D17" s="10">
        <f t="shared" si="10"/>
        <v>280</v>
      </c>
      <c r="E17" s="10">
        <f t="shared" si="10"/>
        <v>370</v>
      </c>
      <c r="F17" s="10">
        <f t="shared" si="10"/>
        <v>460</v>
      </c>
      <c r="G17" s="10">
        <f t="shared" si="10"/>
        <v>550</v>
      </c>
      <c r="H17" s="10">
        <f t="shared" si="10"/>
        <v>630</v>
      </c>
      <c r="I17" s="10">
        <f t="shared" si="10"/>
        <v>710</v>
      </c>
      <c r="J17" s="10">
        <f t="shared" si="10"/>
        <v>790</v>
      </c>
      <c r="K17" s="10">
        <f t="shared" si="10"/>
        <v>870</v>
      </c>
      <c r="L17" s="10">
        <f t="shared" si="10"/>
        <v>950</v>
      </c>
      <c r="M17" s="10">
        <f t="shared" si="10"/>
        <v>1030</v>
      </c>
      <c r="N17" s="10">
        <f t="shared" si="6"/>
        <v>6930</v>
      </c>
    </row>
    <row r="18" spans="1:14" ht="14.4" x14ac:dyDescent="0.3">
      <c r="A18" s="19" t="s">
        <v>15</v>
      </c>
      <c r="B18" s="10">
        <f t="shared" ref="B18:M18" si="11">30*B2</f>
        <v>300</v>
      </c>
      <c r="C18" s="10">
        <f t="shared" si="11"/>
        <v>570</v>
      </c>
      <c r="D18" s="10">
        <f t="shared" si="11"/>
        <v>840</v>
      </c>
      <c r="E18" s="10">
        <f t="shared" si="11"/>
        <v>1110</v>
      </c>
      <c r="F18" s="10">
        <f t="shared" si="11"/>
        <v>1380</v>
      </c>
      <c r="G18" s="10">
        <f t="shared" si="11"/>
        <v>1650</v>
      </c>
      <c r="H18" s="10">
        <f t="shared" si="11"/>
        <v>1890</v>
      </c>
      <c r="I18" s="10">
        <f t="shared" si="11"/>
        <v>2130</v>
      </c>
      <c r="J18" s="10">
        <f t="shared" si="11"/>
        <v>2370</v>
      </c>
      <c r="K18" s="10">
        <f t="shared" si="11"/>
        <v>2610</v>
      </c>
      <c r="L18" s="10">
        <f t="shared" si="11"/>
        <v>2850</v>
      </c>
      <c r="M18" s="10">
        <f t="shared" si="11"/>
        <v>3090</v>
      </c>
      <c r="N18" s="10">
        <f t="shared" si="6"/>
        <v>20790</v>
      </c>
    </row>
    <row r="19" spans="1:14" ht="21" customHeight="1" x14ac:dyDescent="0.3">
      <c r="A19" s="16" t="s">
        <v>16</v>
      </c>
      <c r="B19" s="17">
        <f t="shared" ref="B19:M19" si="12">SUM(B20:B40)</f>
        <v>39748</v>
      </c>
      <c r="C19" s="17">
        <f t="shared" si="12"/>
        <v>39780</v>
      </c>
      <c r="D19" s="17">
        <f t="shared" si="12"/>
        <v>39780</v>
      </c>
      <c r="E19" s="17">
        <f t="shared" si="12"/>
        <v>39780</v>
      </c>
      <c r="F19" s="17">
        <f t="shared" si="12"/>
        <v>39780</v>
      </c>
      <c r="G19" s="17">
        <f t="shared" si="12"/>
        <v>39780</v>
      </c>
      <c r="H19" s="17">
        <f t="shared" si="12"/>
        <v>39780</v>
      </c>
      <c r="I19" s="17">
        <f t="shared" si="12"/>
        <v>39780</v>
      </c>
      <c r="J19" s="17">
        <f t="shared" si="12"/>
        <v>39780</v>
      </c>
      <c r="K19" s="17">
        <f t="shared" si="12"/>
        <v>39780</v>
      </c>
      <c r="L19" s="17">
        <f t="shared" si="12"/>
        <v>39780</v>
      </c>
      <c r="M19" s="17">
        <f t="shared" si="12"/>
        <v>39780</v>
      </c>
      <c r="N19" s="18">
        <f t="shared" si="6"/>
        <v>477328</v>
      </c>
    </row>
    <row r="20" spans="1:14" ht="14.4" x14ac:dyDescent="0.3">
      <c r="A20" s="19" t="s">
        <v>17</v>
      </c>
      <c r="B20" s="9">
        <v>4440</v>
      </c>
      <c r="C20" s="9">
        <v>4440</v>
      </c>
      <c r="D20" s="9">
        <v>4440</v>
      </c>
      <c r="E20" s="9">
        <v>4440</v>
      </c>
      <c r="F20" s="9">
        <v>4440</v>
      </c>
      <c r="G20" s="9">
        <v>4440</v>
      </c>
      <c r="H20" s="9">
        <v>4440</v>
      </c>
      <c r="I20" s="9">
        <v>4440</v>
      </c>
      <c r="J20" s="9">
        <v>4440</v>
      </c>
      <c r="K20" s="9">
        <v>4440</v>
      </c>
      <c r="L20" s="9">
        <v>4440</v>
      </c>
      <c r="M20" s="9">
        <v>4440</v>
      </c>
      <c r="N20" s="10">
        <f t="shared" si="6"/>
        <v>53280</v>
      </c>
    </row>
    <row r="21" spans="1:14" ht="14.4" x14ac:dyDescent="0.3">
      <c r="A21" s="19" t="s">
        <v>18</v>
      </c>
      <c r="B21" s="9">
        <v>2220</v>
      </c>
      <c r="C21" s="9">
        <v>2220</v>
      </c>
      <c r="D21" s="9">
        <v>2220</v>
      </c>
      <c r="E21" s="9">
        <v>2220</v>
      </c>
      <c r="F21" s="9">
        <v>2220</v>
      </c>
      <c r="G21" s="9">
        <v>2220</v>
      </c>
      <c r="H21" s="9">
        <v>2220</v>
      </c>
      <c r="I21" s="9">
        <v>2220</v>
      </c>
      <c r="J21" s="9">
        <v>2220</v>
      </c>
      <c r="K21" s="9">
        <v>2220</v>
      </c>
      <c r="L21" s="9">
        <v>2220</v>
      </c>
      <c r="M21" s="9">
        <v>2220</v>
      </c>
      <c r="N21" s="10">
        <f t="shared" si="6"/>
        <v>26640</v>
      </c>
    </row>
    <row r="22" spans="1:14" ht="14.4" x14ac:dyDescent="0.3">
      <c r="A22" s="19" t="s">
        <v>18</v>
      </c>
      <c r="B22" s="9">
        <v>2220</v>
      </c>
      <c r="C22" s="9">
        <v>2220</v>
      </c>
      <c r="D22" s="9">
        <v>2220</v>
      </c>
      <c r="E22" s="9">
        <v>2220</v>
      </c>
      <c r="F22" s="9">
        <v>2220</v>
      </c>
      <c r="G22" s="9">
        <v>2220</v>
      </c>
      <c r="H22" s="9">
        <v>2220</v>
      </c>
      <c r="I22" s="9">
        <v>2220</v>
      </c>
      <c r="J22" s="9">
        <v>2220</v>
      </c>
      <c r="K22" s="9">
        <v>2220</v>
      </c>
      <c r="L22" s="9">
        <v>2220</v>
      </c>
      <c r="M22" s="9">
        <v>2220</v>
      </c>
      <c r="N22" s="10">
        <f t="shared" si="6"/>
        <v>26640</v>
      </c>
    </row>
    <row r="23" spans="1:14" ht="14.4" x14ac:dyDescent="0.3">
      <c r="A23" s="19" t="s">
        <v>18</v>
      </c>
      <c r="B23" s="9">
        <v>2220</v>
      </c>
      <c r="C23" s="9">
        <v>2220</v>
      </c>
      <c r="D23" s="9">
        <v>2220</v>
      </c>
      <c r="E23" s="9">
        <v>2220</v>
      </c>
      <c r="F23" s="9">
        <v>2220</v>
      </c>
      <c r="G23" s="9">
        <v>2220</v>
      </c>
      <c r="H23" s="9">
        <v>2220</v>
      </c>
      <c r="I23" s="9">
        <v>2220</v>
      </c>
      <c r="J23" s="9">
        <v>2220</v>
      </c>
      <c r="K23" s="9">
        <v>2220</v>
      </c>
      <c r="L23" s="9">
        <v>2220</v>
      </c>
      <c r="M23" s="9">
        <v>2220</v>
      </c>
      <c r="N23" s="10">
        <f t="shared" si="6"/>
        <v>26640</v>
      </c>
    </row>
    <row r="24" spans="1:14" ht="14.4" x14ac:dyDescent="0.3">
      <c r="A24" s="8" t="s">
        <v>19</v>
      </c>
      <c r="B24" s="9">
        <f>Dados!$E$4*Dados!$F$4</f>
        <v>1000</v>
      </c>
      <c r="C24" s="9">
        <f>Dados!$E$4*Dados!$F$4</f>
        <v>1000</v>
      </c>
      <c r="D24" s="9">
        <f>Dados!$E$4*Dados!$F$4</f>
        <v>1000</v>
      </c>
      <c r="E24" s="9">
        <f>Dados!$E$4*Dados!$F$4</f>
        <v>1000</v>
      </c>
      <c r="F24" s="9">
        <f>Dados!$E$4*Dados!$F$4</f>
        <v>1000</v>
      </c>
      <c r="G24" s="9">
        <f>Dados!$E$4*Dados!$F$4</f>
        <v>1000</v>
      </c>
      <c r="H24" s="9">
        <f>Dados!$E$4*Dados!$F$4</f>
        <v>1000</v>
      </c>
      <c r="I24" s="9">
        <f>Dados!$E$4*Dados!$F$4</f>
        <v>1000</v>
      </c>
      <c r="J24" s="9">
        <f>Dados!$E$4*Dados!$F$4</f>
        <v>1000</v>
      </c>
      <c r="K24" s="9">
        <f>Dados!$E$4*Dados!$F$4</f>
        <v>1000</v>
      </c>
      <c r="L24" s="9">
        <f>Dados!$E$4*Dados!$F$4</f>
        <v>1000</v>
      </c>
      <c r="M24" s="9">
        <f>Dados!$E$4*Dados!$F$4</f>
        <v>1000</v>
      </c>
      <c r="N24" s="10">
        <f t="shared" si="6"/>
        <v>12000</v>
      </c>
    </row>
    <row r="25" spans="1:14" ht="14.4" x14ac:dyDescent="0.3">
      <c r="A25" s="8" t="s">
        <v>20</v>
      </c>
      <c r="B25" s="9">
        <f>Dados!$E$5*Dados!$F$5</f>
        <v>2000</v>
      </c>
      <c r="C25" s="9">
        <f>Dados!$E$5*Dados!$F$5</f>
        <v>2000</v>
      </c>
      <c r="D25" s="9">
        <f>Dados!$E$5*Dados!$F$5</f>
        <v>2000</v>
      </c>
      <c r="E25" s="9">
        <f>Dados!$E$5*Dados!$F$5</f>
        <v>2000</v>
      </c>
      <c r="F25" s="9">
        <f>Dados!$E$5*Dados!$F$5</f>
        <v>2000</v>
      </c>
      <c r="G25" s="9">
        <f>Dados!$E$5*Dados!$F$5</f>
        <v>2000</v>
      </c>
      <c r="H25" s="9">
        <f>Dados!$E$5*Dados!$F$5</f>
        <v>2000</v>
      </c>
      <c r="I25" s="9">
        <f>Dados!$E$5*Dados!$F$5</f>
        <v>2000</v>
      </c>
      <c r="J25" s="9">
        <f>Dados!$E$5*Dados!$F$5</f>
        <v>2000</v>
      </c>
      <c r="K25" s="9">
        <f>Dados!$E$5*Dados!$F$5</f>
        <v>2000</v>
      </c>
      <c r="L25" s="9">
        <f>Dados!$E$5*Dados!$F$5</f>
        <v>2000</v>
      </c>
      <c r="M25" s="9">
        <f>Dados!$E$5*Dados!$F$5</f>
        <v>2000</v>
      </c>
      <c r="N25" s="10">
        <f t="shared" si="6"/>
        <v>24000</v>
      </c>
    </row>
    <row r="26" spans="1:14" ht="14.4" x14ac:dyDescent="0.3">
      <c r="A26" s="8" t="s">
        <v>21</v>
      </c>
      <c r="B26" s="9">
        <f>Dados!$E$6*Dados!$F$6</f>
        <v>2000</v>
      </c>
      <c r="C26" s="9">
        <f>Dados!$E$6*Dados!$F$6</f>
        <v>2000</v>
      </c>
      <c r="D26" s="9">
        <f>Dados!$E$6*Dados!$F$6</f>
        <v>2000</v>
      </c>
      <c r="E26" s="9">
        <f>Dados!$E$6*Dados!$F$6</f>
        <v>2000</v>
      </c>
      <c r="F26" s="9">
        <f>Dados!$E$6*Dados!$F$6</f>
        <v>2000</v>
      </c>
      <c r="G26" s="9">
        <f>Dados!$E$6*Dados!$F$6</f>
        <v>2000</v>
      </c>
      <c r="H26" s="9">
        <f>Dados!$E$6*Dados!$F$6</f>
        <v>2000</v>
      </c>
      <c r="I26" s="9">
        <f>Dados!$E$6*Dados!$F$6</f>
        <v>2000</v>
      </c>
      <c r="J26" s="9">
        <f>Dados!$E$6*Dados!$F$6</f>
        <v>2000</v>
      </c>
      <c r="K26" s="9">
        <f>Dados!$E$6*Dados!$F$6</f>
        <v>2000</v>
      </c>
      <c r="L26" s="9">
        <f>Dados!$E$6*Dados!$F$6</f>
        <v>2000</v>
      </c>
      <c r="M26" s="9">
        <f>Dados!$E$6*Dados!$F$6</f>
        <v>2000</v>
      </c>
      <c r="N26" s="10">
        <f t="shared" si="6"/>
        <v>24000</v>
      </c>
    </row>
    <row r="27" spans="1:14" ht="14.4" x14ac:dyDescent="0.3">
      <c r="A27" s="8" t="s">
        <v>22</v>
      </c>
      <c r="B27" s="9">
        <f>Dados!$E$7*Dados!$F$7</f>
        <v>2000</v>
      </c>
      <c r="C27" s="9">
        <f>Dados!$E$7*Dados!$F$7</f>
        <v>2000</v>
      </c>
      <c r="D27" s="9">
        <f>Dados!$E$7*Dados!$F$7</f>
        <v>2000</v>
      </c>
      <c r="E27" s="9">
        <f>Dados!$E$7*Dados!$F$7</f>
        <v>2000</v>
      </c>
      <c r="F27" s="9">
        <f>Dados!$E$7*Dados!$F$7</f>
        <v>2000</v>
      </c>
      <c r="G27" s="9">
        <f>Dados!$E$7*Dados!$F$7</f>
        <v>2000</v>
      </c>
      <c r="H27" s="9">
        <f>Dados!$E$7*Dados!$F$7</f>
        <v>2000</v>
      </c>
      <c r="I27" s="9">
        <f>Dados!$E$7*Dados!$F$7</f>
        <v>2000</v>
      </c>
      <c r="J27" s="9">
        <f>Dados!$E$7*Dados!$F$7</f>
        <v>2000</v>
      </c>
      <c r="K27" s="9">
        <f>Dados!$E$7*Dados!$F$7</f>
        <v>2000</v>
      </c>
      <c r="L27" s="9">
        <f>Dados!$E$7*Dados!$F$7</f>
        <v>2000</v>
      </c>
      <c r="M27" s="9">
        <f>Dados!$E$7*Dados!$F$7</f>
        <v>2000</v>
      </c>
      <c r="N27" s="10">
        <f t="shared" si="6"/>
        <v>24000</v>
      </c>
    </row>
    <row r="28" spans="1:14" ht="14.4" x14ac:dyDescent="0.3">
      <c r="A28" s="8" t="s">
        <v>23</v>
      </c>
      <c r="B28" s="9">
        <f>Dados!$E$8*Dados!$F$8</f>
        <v>3000</v>
      </c>
      <c r="C28" s="9">
        <f>Dados!$E$8*Dados!$F$8</f>
        <v>3000</v>
      </c>
      <c r="D28" s="9">
        <f>Dados!$E$8*Dados!$F$8</f>
        <v>3000</v>
      </c>
      <c r="E28" s="9">
        <f>Dados!$E$8*Dados!$F$8</f>
        <v>3000</v>
      </c>
      <c r="F28" s="9">
        <f>Dados!$E$8*Dados!$F$8</f>
        <v>3000</v>
      </c>
      <c r="G28" s="9">
        <f>Dados!$E$8*Dados!$F$8</f>
        <v>3000</v>
      </c>
      <c r="H28" s="9">
        <f>Dados!$E$8*Dados!$F$8</f>
        <v>3000</v>
      </c>
      <c r="I28" s="9">
        <f>Dados!$E$8*Dados!$F$8</f>
        <v>3000</v>
      </c>
      <c r="J28" s="9">
        <f>Dados!$E$8*Dados!$F$8</f>
        <v>3000</v>
      </c>
      <c r="K28" s="9">
        <f>Dados!$E$8*Dados!$F$8</f>
        <v>3000</v>
      </c>
      <c r="L28" s="9">
        <f>Dados!$E$8*Dados!$F$8</f>
        <v>3000</v>
      </c>
      <c r="M28" s="9">
        <f>Dados!$E$8*Dados!$F$8</f>
        <v>3000</v>
      </c>
      <c r="N28" s="10">
        <f t="shared" si="6"/>
        <v>36000</v>
      </c>
    </row>
    <row r="29" spans="1:14" ht="14.4" x14ac:dyDescent="0.3">
      <c r="A29" s="8" t="s">
        <v>24</v>
      </c>
      <c r="B29" s="9">
        <f>Dados!$E$9*Dados!$F$9</f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10">
        <f t="shared" si="6"/>
        <v>0</v>
      </c>
    </row>
    <row r="30" spans="1:14" ht="14.4" x14ac:dyDescent="0.3">
      <c r="A30" s="19" t="s">
        <v>25</v>
      </c>
      <c r="B30" s="9">
        <f>Dados!$E$10*Dados!$F$10</f>
        <v>300</v>
      </c>
      <c r="C30" s="9">
        <v>396</v>
      </c>
      <c r="D30" s="9">
        <v>396</v>
      </c>
      <c r="E30" s="9">
        <v>396</v>
      </c>
      <c r="F30" s="9">
        <v>396</v>
      </c>
      <c r="G30" s="9">
        <v>396</v>
      </c>
      <c r="H30" s="9">
        <v>396</v>
      </c>
      <c r="I30" s="9">
        <v>396</v>
      </c>
      <c r="J30" s="9">
        <v>396</v>
      </c>
      <c r="K30" s="9">
        <v>396</v>
      </c>
      <c r="L30" s="9">
        <v>396</v>
      </c>
      <c r="M30" s="9">
        <v>396</v>
      </c>
      <c r="N30" s="10">
        <f t="shared" si="6"/>
        <v>4656</v>
      </c>
    </row>
    <row r="31" spans="1:14" ht="14.4" x14ac:dyDescent="0.3">
      <c r="A31" s="19" t="s">
        <v>26</v>
      </c>
      <c r="B31" s="9">
        <v>500</v>
      </c>
      <c r="C31" s="9">
        <v>500</v>
      </c>
      <c r="D31" s="9">
        <v>500</v>
      </c>
      <c r="E31" s="9">
        <v>500</v>
      </c>
      <c r="F31" s="9">
        <v>500</v>
      </c>
      <c r="G31" s="9">
        <v>500</v>
      </c>
      <c r="H31" s="9">
        <v>500</v>
      </c>
      <c r="I31" s="9">
        <v>500</v>
      </c>
      <c r="J31" s="9">
        <v>500</v>
      </c>
      <c r="K31" s="9">
        <v>500</v>
      </c>
      <c r="L31" s="9">
        <v>500</v>
      </c>
      <c r="M31" s="9">
        <v>500</v>
      </c>
      <c r="N31" s="10">
        <f t="shared" si="6"/>
        <v>6000</v>
      </c>
    </row>
    <row r="32" spans="1:14" ht="14.4" x14ac:dyDescent="0.3">
      <c r="A32" s="19" t="s">
        <v>27</v>
      </c>
      <c r="B32" s="9">
        <v>1000</v>
      </c>
      <c r="C32" s="9">
        <v>1000</v>
      </c>
      <c r="D32" s="9">
        <v>1000</v>
      </c>
      <c r="E32" s="9">
        <v>1000</v>
      </c>
      <c r="F32" s="9">
        <v>1000</v>
      </c>
      <c r="G32" s="9">
        <v>1000</v>
      </c>
      <c r="H32" s="9">
        <v>1000</v>
      </c>
      <c r="I32" s="9">
        <v>1000</v>
      </c>
      <c r="J32" s="9">
        <v>1000</v>
      </c>
      <c r="K32" s="9">
        <v>1000</v>
      </c>
      <c r="L32" s="9">
        <v>1000</v>
      </c>
      <c r="M32" s="9">
        <v>1000</v>
      </c>
      <c r="N32" s="10">
        <f t="shared" si="6"/>
        <v>12000</v>
      </c>
    </row>
    <row r="33" spans="1:14" ht="14.4" x14ac:dyDescent="0.3">
      <c r="A33" s="19" t="s">
        <v>28</v>
      </c>
      <c r="B33" s="9">
        <v>500</v>
      </c>
      <c r="C33" s="9">
        <v>500</v>
      </c>
      <c r="D33" s="9">
        <v>500</v>
      </c>
      <c r="E33" s="9">
        <v>500</v>
      </c>
      <c r="F33" s="9">
        <v>500</v>
      </c>
      <c r="G33" s="9">
        <v>500</v>
      </c>
      <c r="H33" s="9">
        <v>500</v>
      </c>
      <c r="I33" s="9">
        <v>500</v>
      </c>
      <c r="J33" s="9">
        <v>500</v>
      </c>
      <c r="K33" s="9">
        <v>500</v>
      </c>
      <c r="L33" s="9">
        <v>500</v>
      </c>
      <c r="M33" s="9">
        <v>500</v>
      </c>
      <c r="N33" s="10">
        <f t="shared" si="6"/>
        <v>6000</v>
      </c>
    </row>
    <row r="34" spans="1:14" ht="14.4" x14ac:dyDescent="0.3">
      <c r="A34" s="19" t="s">
        <v>29</v>
      </c>
      <c r="B34" s="9">
        <v>500</v>
      </c>
      <c r="C34" s="9">
        <v>500</v>
      </c>
      <c r="D34" s="9">
        <v>500</v>
      </c>
      <c r="E34" s="9">
        <v>500</v>
      </c>
      <c r="F34" s="9">
        <v>500</v>
      </c>
      <c r="G34" s="9">
        <v>500</v>
      </c>
      <c r="H34" s="9">
        <v>500</v>
      </c>
      <c r="I34" s="9">
        <v>500</v>
      </c>
      <c r="J34" s="9">
        <v>500</v>
      </c>
      <c r="K34" s="9">
        <v>500</v>
      </c>
      <c r="L34" s="9">
        <v>500</v>
      </c>
      <c r="M34" s="9">
        <v>500</v>
      </c>
      <c r="N34" s="10">
        <f t="shared" si="6"/>
        <v>6000</v>
      </c>
    </row>
    <row r="35" spans="1:14" ht="14.4" x14ac:dyDescent="0.3">
      <c r="A35" s="19" t="s">
        <v>30</v>
      </c>
      <c r="B35" s="9">
        <v>2000</v>
      </c>
      <c r="C35" s="9">
        <v>2000</v>
      </c>
      <c r="D35" s="9">
        <v>2000</v>
      </c>
      <c r="E35" s="9">
        <v>2000</v>
      </c>
      <c r="F35" s="9">
        <v>2000</v>
      </c>
      <c r="G35" s="9">
        <v>2000</v>
      </c>
      <c r="H35" s="9">
        <v>2000</v>
      </c>
      <c r="I35" s="9">
        <v>2000</v>
      </c>
      <c r="J35" s="9">
        <v>2000</v>
      </c>
      <c r="K35" s="9">
        <v>2000</v>
      </c>
      <c r="L35" s="9">
        <v>2000</v>
      </c>
      <c r="M35" s="9">
        <v>2000</v>
      </c>
      <c r="N35" s="10">
        <f t="shared" si="6"/>
        <v>24000</v>
      </c>
    </row>
    <row r="36" spans="1:14" ht="14.4" x14ac:dyDescent="0.3">
      <c r="A36" s="19" t="s">
        <v>31</v>
      </c>
      <c r="B36" s="9">
        <f>Dados!$E$11*Dados!$F$11</f>
        <v>600</v>
      </c>
      <c r="C36" s="9">
        <v>686</v>
      </c>
      <c r="D36" s="9">
        <v>686</v>
      </c>
      <c r="E36" s="9">
        <v>686</v>
      </c>
      <c r="F36" s="9">
        <v>686</v>
      </c>
      <c r="G36" s="9">
        <v>686</v>
      </c>
      <c r="H36" s="9">
        <v>686</v>
      </c>
      <c r="I36" s="9">
        <v>686</v>
      </c>
      <c r="J36" s="9">
        <v>686</v>
      </c>
      <c r="K36" s="9">
        <v>686</v>
      </c>
      <c r="L36" s="9">
        <v>686</v>
      </c>
      <c r="M36" s="9">
        <v>686</v>
      </c>
      <c r="N36" s="10">
        <f t="shared" si="6"/>
        <v>8146</v>
      </c>
    </row>
    <row r="37" spans="1:14" ht="14.4" x14ac:dyDescent="0.3">
      <c r="A37" s="19" t="s">
        <v>32</v>
      </c>
      <c r="B37" s="9">
        <f>Dados!$E$12*Dados!$F$12</f>
        <v>1200</v>
      </c>
      <c r="C37" s="9">
        <v>1050</v>
      </c>
      <c r="D37" s="9">
        <v>1050</v>
      </c>
      <c r="E37" s="9">
        <v>1050</v>
      </c>
      <c r="F37" s="9">
        <v>1050</v>
      </c>
      <c r="G37" s="9">
        <v>1050</v>
      </c>
      <c r="H37" s="9">
        <v>1050</v>
      </c>
      <c r="I37" s="9">
        <v>1050</v>
      </c>
      <c r="J37" s="9">
        <v>1050</v>
      </c>
      <c r="K37" s="9">
        <v>1050</v>
      </c>
      <c r="L37" s="9">
        <v>1050</v>
      </c>
      <c r="M37" s="9">
        <v>1050</v>
      </c>
      <c r="N37" s="10">
        <f t="shared" si="6"/>
        <v>12750</v>
      </c>
    </row>
    <row r="38" spans="1:14" ht="14.4" x14ac:dyDescent="0.3">
      <c r="A38" s="19" t="s">
        <v>33</v>
      </c>
      <c r="B38" s="9">
        <v>48</v>
      </c>
      <c r="C38" s="9">
        <v>48</v>
      </c>
      <c r="D38" s="9">
        <v>48</v>
      </c>
      <c r="E38" s="9">
        <v>48</v>
      </c>
      <c r="F38" s="9">
        <v>48</v>
      </c>
      <c r="G38" s="9">
        <v>48</v>
      </c>
      <c r="H38" s="9">
        <v>48</v>
      </c>
      <c r="I38" s="9">
        <v>48</v>
      </c>
      <c r="J38" s="9">
        <v>48</v>
      </c>
      <c r="K38" s="9">
        <v>48</v>
      </c>
      <c r="L38" s="9">
        <v>48</v>
      </c>
      <c r="M38" s="9">
        <v>48</v>
      </c>
      <c r="N38" s="10">
        <f t="shared" si="6"/>
        <v>576</v>
      </c>
    </row>
    <row r="39" spans="1:14" ht="14.4" x14ac:dyDescent="0.3">
      <c r="A39" s="19" t="s">
        <v>34</v>
      </c>
      <c r="B39" s="9">
        <v>2000</v>
      </c>
      <c r="C39" s="9">
        <v>2000</v>
      </c>
      <c r="D39" s="9">
        <v>2000</v>
      </c>
      <c r="E39" s="9">
        <v>2000</v>
      </c>
      <c r="F39" s="9">
        <v>2000</v>
      </c>
      <c r="G39" s="9">
        <v>2000</v>
      </c>
      <c r="H39" s="9">
        <v>2000</v>
      </c>
      <c r="I39" s="9">
        <v>2000</v>
      </c>
      <c r="J39" s="9">
        <v>2000</v>
      </c>
      <c r="K39" s="9">
        <v>2000</v>
      </c>
      <c r="L39" s="9">
        <v>2000</v>
      </c>
      <c r="M39" s="9">
        <v>2000</v>
      </c>
      <c r="N39" s="10">
        <f t="shared" si="6"/>
        <v>24000</v>
      </c>
    </row>
    <row r="40" spans="1:14" ht="14.4" x14ac:dyDescent="0.3">
      <c r="A40" s="8" t="s">
        <v>35</v>
      </c>
      <c r="B40" s="10">
        <f>Dados!$E$3</f>
        <v>10000</v>
      </c>
      <c r="C40" s="10">
        <f>Dados!$E$3</f>
        <v>10000</v>
      </c>
      <c r="D40" s="10">
        <f>Dados!$E$3</f>
        <v>10000</v>
      </c>
      <c r="E40" s="10">
        <f>Dados!$E$3</f>
        <v>10000</v>
      </c>
      <c r="F40" s="10">
        <f>Dados!$E$3</f>
        <v>10000</v>
      </c>
      <c r="G40" s="10">
        <f>Dados!$E$3</f>
        <v>10000</v>
      </c>
      <c r="H40" s="10">
        <f>Dados!$E$3</f>
        <v>10000</v>
      </c>
      <c r="I40" s="10">
        <f>Dados!$E$3</f>
        <v>10000</v>
      </c>
      <c r="J40" s="10">
        <f>Dados!$E$3</f>
        <v>10000</v>
      </c>
      <c r="K40" s="10">
        <f>Dados!$E$3</f>
        <v>10000</v>
      </c>
      <c r="L40" s="10">
        <f>Dados!$E$3</f>
        <v>10000</v>
      </c>
      <c r="M40" s="10">
        <f>Dados!$E$3</f>
        <v>10000</v>
      </c>
      <c r="N40" s="10">
        <f t="shared" si="6"/>
        <v>120000</v>
      </c>
    </row>
    <row r="41" spans="1:14" ht="27" customHeight="1" x14ac:dyDescent="0.3">
      <c r="A41" s="4" t="s">
        <v>36</v>
      </c>
      <c r="B41" s="5">
        <f t="shared" ref="B41:M41" si="13">ROUND(B9-B19,2)</f>
        <v>-35525.78</v>
      </c>
      <c r="C41" s="5">
        <f t="shared" si="13"/>
        <v>-31757.78</v>
      </c>
      <c r="D41" s="5">
        <f t="shared" si="13"/>
        <v>-27957.78</v>
      </c>
      <c r="E41" s="5">
        <f t="shared" si="13"/>
        <v>-24157.79</v>
      </c>
      <c r="F41" s="5">
        <f t="shared" si="13"/>
        <v>-20357.79</v>
      </c>
      <c r="G41" s="5">
        <f t="shared" si="13"/>
        <v>-16557.79</v>
      </c>
      <c r="H41" s="5">
        <f t="shared" si="13"/>
        <v>-13180.01</v>
      </c>
      <c r="I41" s="5">
        <f t="shared" si="13"/>
        <v>-9802.24</v>
      </c>
      <c r="J41" s="5">
        <f t="shared" si="13"/>
        <v>-6424.46</v>
      </c>
      <c r="K41" s="5">
        <f t="shared" si="13"/>
        <v>-3046.69</v>
      </c>
      <c r="L41" s="5">
        <f t="shared" si="13"/>
        <v>331.09</v>
      </c>
      <c r="M41" s="5">
        <f t="shared" si="13"/>
        <v>3708.87</v>
      </c>
      <c r="N41" s="5">
        <f t="shared" si="6"/>
        <v>-184728.15</v>
      </c>
    </row>
    <row r="42" spans="1:14" ht="14.4" x14ac:dyDescent="0.3">
      <c r="A42" s="6" t="s">
        <v>37</v>
      </c>
      <c r="B42" s="13">
        <f t="shared" ref="B42:M42" si="14">B41/B8</f>
        <v>-5.0601334336079491</v>
      </c>
      <c r="C42" s="13">
        <f t="shared" si="14"/>
        <v>-2.3807559698480465</v>
      </c>
      <c r="D42" s="13">
        <f t="shared" si="14"/>
        <v>-1.4222076124060536</v>
      </c>
      <c r="E42" s="13">
        <f t="shared" si="14"/>
        <v>-0.92998046246431043</v>
      </c>
      <c r="F42" s="13">
        <f t="shared" si="14"/>
        <v>-0.63036362677034985</v>
      </c>
      <c r="G42" s="13">
        <f t="shared" si="14"/>
        <v>-0.42880321003077648</v>
      </c>
      <c r="H42" s="13">
        <f t="shared" si="14"/>
        <v>-0.29798440606733773</v>
      </c>
      <c r="I42" s="13">
        <f t="shared" si="14"/>
        <v>-0.1966460965682425</v>
      </c>
      <c r="J42" s="13">
        <f t="shared" si="14"/>
        <v>-0.11583182135309864</v>
      </c>
      <c r="K42" s="13">
        <f t="shared" si="14"/>
        <v>-4.9880105298824508E-2</v>
      </c>
      <c r="L42" s="13">
        <f t="shared" si="14"/>
        <v>4.964103246870466E-3</v>
      </c>
      <c r="M42" s="13">
        <f t="shared" si="14"/>
        <v>5.1288823086438069E-2</v>
      </c>
      <c r="N42" s="13">
        <f>AVERAGE(B42:M42)</f>
        <v>-0.9546944848401403</v>
      </c>
    </row>
    <row r="46" spans="1:14" ht="14.4" x14ac:dyDescent="0.3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</row>
    <row r="47" spans="1:14" ht="14.4" x14ac:dyDescent="0.3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2"/>
    </row>
    <row r="48" spans="1:14" ht="14.4" x14ac:dyDescent="0.3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  <row r="49" spans="1:14" ht="14.4" x14ac:dyDescent="0.3">
      <c r="A49" s="2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</row>
    <row r="50" spans="1:14" ht="14.4" x14ac:dyDescent="0.3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2"/>
    </row>
    <row r="51" spans="1:14" ht="14.4" x14ac:dyDescent="0.3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</row>
    <row r="52" spans="1:14" ht="14.4" x14ac:dyDescent="0.3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1:14" ht="14.4" x14ac:dyDescent="0.3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1:14" ht="14.4" x14ac:dyDescent="0.3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1:14" ht="14.4" x14ac:dyDescent="0.3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1:14" ht="14.4" x14ac:dyDescent="0.3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</row>
    <row r="57" spans="1:14" ht="14.4" x14ac:dyDescent="0.3">
      <c r="A57" s="2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2"/>
    </row>
    <row r="58" spans="1:14" ht="14.4" x14ac:dyDescent="0.3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ht="14.4" x14ac:dyDescent="0.3">
      <c r="A59" s="20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1:14" ht="14.4" x14ac:dyDescent="0.3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14.4" x14ac:dyDescent="0.3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</row>
    <row r="62" spans="1:14" ht="14.4" x14ac:dyDescent="0.3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ht="14.4" x14ac:dyDescent="0.3">
      <c r="A63" s="20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1:14" ht="14.4" x14ac:dyDescent="0.3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14.4" x14ac:dyDescent="0.3">
      <c r="A65" s="20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2"/>
    </row>
    <row r="66" spans="1:14" ht="14.4" x14ac:dyDescent="0.3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14.4" x14ac:dyDescent="0.3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14.4" x14ac:dyDescent="0.3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14.4" x14ac:dyDescent="0.3">
      <c r="A69" s="20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</row>
    <row r="70" spans="1:14" ht="14.4" x14ac:dyDescent="0.3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ht="14.4" x14ac:dyDescent="0.3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2"/>
    </row>
    <row r="72" spans="1:14" ht="14.4" x14ac:dyDescent="0.3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14.4" x14ac:dyDescent="0.3">
      <c r="A73" s="20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2"/>
    </row>
    <row r="74" spans="1:14" ht="14.4" x14ac:dyDescent="0.3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14.4" x14ac:dyDescent="0.3">
      <c r="A75" s="20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2"/>
    </row>
    <row r="76" spans="1:14" ht="14.4" x14ac:dyDescent="0.3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</row>
    <row r="77" spans="1:14" ht="14.4" x14ac:dyDescent="0.3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2"/>
    </row>
    <row r="78" spans="1:14" ht="14.4" x14ac:dyDescent="0.3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14.4" x14ac:dyDescent="0.3">
      <c r="A79" s="20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</row>
    <row r="80" spans="1:14" ht="14.4" x14ac:dyDescent="0.3">
      <c r="A80" s="20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14.4" x14ac:dyDescent="0.3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2"/>
    </row>
    <row r="82" spans="1:14" ht="14.4" x14ac:dyDescent="0.3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</row>
    <row r="83" spans="1:14" ht="14.4" x14ac:dyDescent="0.3">
      <c r="A83" s="20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2"/>
    </row>
    <row r="84" spans="1:14" ht="14.4" x14ac:dyDescent="0.3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14.4" x14ac:dyDescent="0.3">
      <c r="A85" s="20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2"/>
    </row>
    <row r="86" spans="1:14" ht="14.4" x14ac:dyDescent="0.3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14.4" x14ac:dyDescent="0.3">
      <c r="A87" s="20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2"/>
    </row>
    <row r="88" spans="1:14" ht="14.4" x14ac:dyDescent="0.3">
      <c r="A88" s="20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14.4" x14ac:dyDescent="0.3">
      <c r="A89" s="20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2"/>
    </row>
    <row r="90" spans="1:14" ht="14.4" x14ac:dyDescent="0.3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</row>
    <row r="91" spans="1:14" ht="14.4" x14ac:dyDescent="0.3">
      <c r="A91" s="20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2"/>
    </row>
    <row r="92" spans="1:14" ht="14.4" x14ac:dyDescent="0.3">
      <c r="A92" s="20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14.4" x14ac:dyDescent="0.3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</row>
    <row r="94" spans="1:14" ht="14.4" x14ac:dyDescent="0.3">
      <c r="A94" s="20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14.4" x14ac:dyDescent="0.3">
      <c r="A95" s="20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2"/>
    </row>
    <row r="96" spans="1:14" ht="14.4" x14ac:dyDescent="0.3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14.4" x14ac:dyDescent="0.3">
      <c r="A97" s="20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2"/>
    </row>
    <row r="98" spans="1:14" ht="14.4" x14ac:dyDescent="0.3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14.4" x14ac:dyDescent="0.3">
      <c r="A99" s="20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2"/>
    </row>
    <row r="100" spans="1:14" ht="14.4" x14ac:dyDescent="0.3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14.4" x14ac:dyDescent="0.3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2"/>
    </row>
    <row r="102" spans="1:14" ht="14.4" x14ac:dyDescent="0.3">
      <c r="A102" s="20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14.4" x14ac:dyDescent="0.3">
      <c r="A103" s="20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2"/>
    </row>
    <row r="104" spans="1:14" ht="14.4" x14ac:dyDescent="0.3">
      <c r="A104" s="20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14.4" x14ac:dyDescent="0.3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2"/>
    </row>
    <row r="106" spans="1:14" ht="14.4" x14ac:dyDescent="0.3">
      <c r="A106" s="20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</row>
    <row r="107" spans="1:14" ht="14.4" x14ac:dyDescent="0.3">
      <c r="A107" s="20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2"/>
    </row>
    <row r="108" spans="1:14" ht="14.4" x14ac:dyDescent="0.3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14.4" x14ac:dyDescent="0.3">
      <c r="A109" s="20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2"/>
    </row>
    <row r="110" spans="1:14" ht="14.4" x14ac:dyDescent="0.3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14.4" x14ac:dyDescent="0.3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2"/>
    </row>
    <row r="112" spans="1:14" ht="14.4" x14ac:dyDescent="0.3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2"/>
    </row>
    <row r="113" spans="1:14" ht="14.4" x14ac:dyDescent="0.3">
      <c r="A113" s="20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2"/>
    </row>
    <row r="114" spans="1:14" ht="14.4" x14ac:dyDescent="0.3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2"/>
    </row>
    <row r="115" spans="1:14" ht="14.4" x14ac:dyDescent="0.3">
      <c r="A115" s="20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2"/>
    </row>
    <row r="116" spans="1:14" ht="14.4" x14ac:dyDescent="0.3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2"/>
    </row>
    <row r="117" spans="1:14" ht="14.4" x14ac:dyDescent="0.3">
      <c r="A117" s="20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2"/>
    </row>
    <row r="118" spans="1:14" ht="14.4" x14ac:dyDescent="0.3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2"/>
    </row>
    <row r="119" spans="1:14" ht="14.4" x14ac:dyDescent="0.3">
      <c r="A119" s="20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2"/>
    </row>
    <row r="120" spans="1:14" ht="14.4" x14ac:dyDescent="0.3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2"/>
    </row>
    <row r="121" spans="1:14" ht="14.4" x14ac:dyDescent="0.3">
      <c r="A121" s="20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2"/>
    </row>
    <row r="122" spans="1:14" ht="14.4" x14ac:dyDescent="0.3">
      <c r="A122" s="20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2"/>
    </row>
    <row r="123" spans="1:14" ht="14.4" x14ac:dyDescent="0.3">
      <c r="A123" s="20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2"/>
    </row>
    <row r="124" spans="1:14" ht="14.4" x14ac:dyDescent="0.3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2"/>
    </row>
    <row r="125" spans="1:14" ht="14.4" x14ac:dyDescent="0.3">
      <c r="A125" s="20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2"/>
    </row>
    <row r="126" spans="1:14" ht="14.4" x14ac:dyDescent="0.3">
      <c r="A126" s="20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2"/>
    </row>
    <row r="127" spans="1:14" ht="14.4" x14ac:dyDescent="0.3">
      <c r="A127" s="20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2"/>
    </row>
    <row r="128" spans="1:14" ht="14.4" x14ac:dyDescent="0.3">
      <c r="A128" s="20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2"/>
    </row>
    <row r="129" spans="1:14" ht="14.4" x14ac:dyDescent="0.3">
      <c r="A129" s="20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2"/>
    </row>
    <row r="130" spans="1:14" ht="14.4" x14ac:dyDescent="0.3">
      <c r="A130" s="20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2"/>
    </row>
    <row r="131" spans="1:14" ht="14.4" x14ac:dyDescent="0.3">
      <c r="A131" s="20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2"/>
    </row>
    <row r="132" spans="1:14" ht="14.4" x14ac:dyDescent="0.3">
      <c r="A132" s="20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2"/>
    </row>
    <row r="133" spans="1:14" ht="14.4" x14ac:dyDescent="0.3">
      <c r="A133" s="20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2"/>
    </row>
    <row r="134" spans="1:14" ht="14.4" x14ac:dyDescent="0.3">
      <c r="A134" s="20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2"/>
    </row>
    <row r="135" spans="1:14" ht="14.4" x14ac:dyDescent="0.3">
      <c r="A135" s="20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2"/>
    </row>
    <row r="136" spans="1:14" ht="14.4" x14ac:dyDescent="0.3">
      <c r="A136" s="20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2"/>
    </row>
    <row r="137" spans="1:14" ht="14.4" x14ac:dyDescent="0.3">
      <c r="A137" s="20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2"/>
    </row>
    <row r="138" spans="1:14" ht="14.4" x14ac:dyDescent="0.3">
      <c r="A138" s="20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2"/>
    </row>
    <row r="139" spans="1:14" ht="14.4" x14ac:dyDescent="0.3">
      <c r="A139" s="20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2"/>
    </row>
    <row r="140" spans="1:14" ht="14.4" x14ac:dyDescent="0.3">
      <c r="A140" s="20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2"/>
    </row>
    <row r="141" spans="1:14" ht="14.4" x14ac:dyDescent="0.3">
      <c r="A141" s="20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2"/>
    </row>
    <row r="142" spans="1:14" ht="14.4" x14ac:dyDescent="0.3">
      <c r="A142" s="20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2"/>
    </row>
    <row r="143" spans="1:14" ht="14.4" x14ac:dyDescent="0.3">
      <c r="A143" s="20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2"/>
    </row>
    <row r="144" spans="1:14" ht="14.4" x14ac:dyDescent="0.3">
      <c r="A144" s="20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2"/>
    </row>
    <row r="145" spans="1:14" ht="14.4" x14ac:dyDescent="0.3">
      <c r="A145" s="20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2"/>
    </row>
    <row r="146" spans="1:14" ht="14.4" x14ac:dyDescent="0.3">
      <c r="A146" s="20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2"/>
    </row>
    <row r="147" spans="1:14" ht="14.4" x14ac:dyDescent="0.3">
      <c r="A147" s="20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2"/>
    </row>
    <row r="148" spans="1:14" ht="14.4" x14ac:dyDescent="0.3">
      <c r="A148" s="20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2"/>
    </row>
    <row r="149" spans="1:14" ht="14.4" x14ac:dyDescent="0.3">
      <c r="A149" s="20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2"/>
    </row>
    <row r="150" spans="1:14" ht="14.4" x14ac:dyDescent="0.3">
      <c r="A150" s="20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2"/>
    </row>
    <row r="151" spans="1:14" ht="14.4" x14ac:dyDescent="0.3">
      <c r="A151" s="20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2"/>
    </row>
    <row r="152" spans="1:14" ht="14.4" x14ac:dyDescent="0.3">
      <c r="A152" s="20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2"/>
    </row>
    <row r="153" spans="1:14" ht="14.4" x14ac:dyDescent="0.3">
      <c r="A153" s="20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2"/>
    </row>
    <row r="154" spans="1:14" ht="14.4" x14ac:dyDescent="0.3">
      <c r="A154" s="20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2"/>
    </row>
    <row r="155" spans="1:14" ht="14.4" x14ac:dyDescent="0.3">
      <c r="A155" s="20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2"/>
    </row>
    <row r="156" spans="1:14" ht="14.4" x14ac:dyDescent="0.3">
      <c r="A156" s="20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2"/>
    </row>
    <row r="157" spans="1:14" ht="14.4" x14ac:dyDescent="0.3">
      <c r="A157" s="20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2"/>
    </row>
    <row r="158" spans="1:14" ht="14.4" x14ac:dyDescent="0.3">
      <c r="A158" s="20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2"/>
    </row>
    <row r="159" spans="1:14" ht="14.4" x14ac:dyDescent="0.3">
      <c r="A159" s="20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2"/>
    </row>
    <row r="160" spans="1:14" ht="14.4" x14ac:dyDescent="0.3">
      <c r="A160" s="20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2"/>
    </row>
    <row r="161" spans="1:14" ht="14.4" x14ac:dyDescent="0.3">
      <c r="A161" s="20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2"/>
    </row>
    <row r="162" spans="1:14" ht="14.4" x14ac:dyDescent="0.3">
      <c r="A162" s="20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2"/>
    </row>
    <row r="163" spans="1:14" ht="14.4" x14ac:dyDescent="0.3">
      <c r="A163" s="20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2"/>
    </row>
    <row r="164" spans="1:14" ht="14.4" x14ac:dyDescent="0.3">
      <c r="A164" s="20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2"/>
    </row>
    <row r="165" spans="1:14" ht="14.4" x14ac:dyDescent="0.3">
      <c r="A165" s="20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2"/>
    </row>
    <row r="166" spans="1:14" ht="14.4" x14ac:dyDescent="0.3">
      <c r="A166" s="20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2"/>
    </row>
    <row r="167" spans="1:14" ht="14.4" x14ac:dyDescent="0.3">
      <c r="A167" s="20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2"/>
    </row>
    <row r="168" spans="1:14" ht="14.4" x14ac:dyDescent="0.3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</row>
    <row r="169" spans="1:14" ht="14.4" x14ac:dyDescent="0.3">
      <c r="A169" s="20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2"/>
    </row>
    <row r="170" spans="1:14" ht="14.4" x14ac:dyDescent="0.3">
      <c r="A170" s="20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14.4" x14ac:dyDescent="0.3">
      <c r="A171" s="20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2"/>
    </row>
    <row r="172" spans="1:14" ht="14.4" x14ac:dyDescent="0.3">
      <c r="A172" s="20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</row>
    <row r="173" spans="1:14" ht="14.4" x14ac:dyDescent="0.3">
      <c r="A173" s="20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2"/>
    </row>
    <row r="174" spans="1:14" ht="14.4" x14ac:dyDescent="0.3">
      <c r="A174" s="20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14.4" x14ac:dyDescent="0.3">
      <c r="A175" s="20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2"/>
    </row>
    <row r="176" spans="1:14" ht="14.4" x14ac:dyDescent="0.3">
      <c r="A176" s="20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14.4" x14ac:dyDescent="0.3">
      <c r="A177" s="20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2"/>
    </row>
    <row r="178" spans="1:14" ht="14.4" x14ac:dyDescent="0.3">
      <c r="A178" s="20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14.4" x14ac:dyDescent="0.3">
      <c r="A179" s="20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2"/>
    </row>
    <row r="180" spans="1:14" ht="14.4" x14ac:dyDescent="0.3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</row>
    <row r="181" spans="1:14" ht="14.4" x14ac:dyDescent="0.3">
      <c r="A181" s="20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2"/>
    </row>
    <row r="182" spans="1:14" ht="14.4" x14ac:dyDescent="0.3">
      <c r="A182" s="20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14.4" x14ac:dyDescent="0.3">
      <c r="A183" s="20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2"/>
    </row>
    <row r="184" spans="1:14" ht="14.4" x14ac:dyDescent="0.3">
      <c r="A184" s="20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14.4" x14ac:dyDescent="0.3">
      <c r="A185" s="20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2"/>
    </row>
    <row r="186" spans="1:14" ht="14.4" x14ac:dyDescent="0.3">
      <c r="A186" s="20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14.4" x14ac:dyDescent="0.3">
      <c r="A187" s="20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2"/>
    </row>
    <row r="188" spans="1:14" ht="14.4" x14ac:dyDescent="0.3">
      <c r="A188" s="20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14.4" x14ac:dyDescent="0.3">
      <c r="A189" s="20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2"/>
    </row>
    <row r="190" spans="1:14" ht="14.4" x14ac:dyDescent="0.3">
      <c r="A190" s="20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14.4" x14ac:dyDescent="0.3">
      <c r="A191" s="20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2"/>
    </row>
    <row r="192" spans="1:14" ht="14.4" x14ac:dyDescent="0.3">
      <c r="A192" s="20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14.4" x14ac:dyDescent="0.3">
      <c r="A193" s="20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2"/>
    </row>
    <row r="194" spans="1:14" ht="14.4" x14ac:dyDescent="0.3">
      <c r="A194" s="20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14.4" x14ac:dyDescent="0.3">
      <c r="A195" s="20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2"/>
    </row>
    <row r="196" spans="1:14" ht="14.4" x14ac:dyDescent="0.3">
      <c r="A196" s="20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14.4" x14ac:dyDescent="0.3">
      <c r="A197" s="20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2"/>
    </row>
    <row r="198" spans="1:14" ht="14.4" x14ac:dyDescent="0.3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14.4" x14ac:dyDescent="0.3">
      <c r="A199" s="20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2"/>
    </row>
    <row r="200" spans="1:14" ht="14.4" x14ac:dyDescent="0.3">
      <c r="A200" s="20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14.4" x14ac:dyDescent="0.3">
      <c r="A201" s="20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2"/>
    </row>
    <row r="202" spans="1:14" ht="14.4" x14ac:dyDescent="0.3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14.4" x14ac:dyDescent="0.3">
      <c r="A203" s="20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2"/>
    </row>
    <row r="204" spans="1:14" ht="14.4" x14ac:dyDescent="0.3">
      <c r="A204" s="20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14.4" x14ac:dyDescent="0.3">
      <c r="A205" s="20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2"/>
    </row>
    <row r="206" spans="1:14" ht="14.4" x14ac:dyDescent="0.3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14.4" x14ac:dyDescent="0.3">
      <c r="A207" s="20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2"/>
    </row>
    <row r="208" spans="1:14" ht="14.4" x14ac:dyDescent="0.3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14.4" x14ac:dyDescent="0.3">
      <c r="A209" s="20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2"/>
    </row>
    <row r="210" spans="1:14" ht="14.4" x14ac:dyDescent="0.3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14.4" x14ac:dyDescent="0.3">
      <c r="A211" s="20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2"/>
    </row>
    <row r="212" spans="1:14" ht="14.4" x14ac:dyDescent="0.3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14.4" x14ac:dyDescent="0.3">
      <c r="A213" s="20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2"/>
    </row>
    <row r="214" spans="1:14" ht="14.4" x14ac:dyDescent="0.3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14.4" x14ac:dyDescent="0.3">
      <c r="A215" s="20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2"/>
    </row>
    <row r="216" spans="1:14" ht="14.4" x14ac:dyDescent="0.3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14.4" x14ac:dyDescent="0.3">
      <c r="A217" s="20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2"/>
    </row>
    <row r="218" spans="1:14" ht="14.4" x14ac:dyDescent="0.3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2"/>
    </row>
    <row r="219" spans="1:14" ht="14.4" x14ac:dyDescent="0.3">
      <c r="A219" s="20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2"/>
    </row>
    <row r="220" spans="1:14" ht="14.4" x14ac:dyDescent="0.3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14.4" x14ac:dyDescent="0.3">
      <c r="A221" s="20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2"/>
    </row>
    <row r="222" spans="1:14" ht="14.4" x14ac:dyDescent="0.3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2"/>
    </row>
    <row r="223" spans="1:14" ht="14.4" x14ac:dyDescent="0.3">
      <c r="A223" s="20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2"/>
    </row>
    <row r="224" spans="1:14" ht="14.4" x14ac:dyDescent="0.3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2"/>
    </row>
    <row r="225" spans="1:14" ht="14.4" x14ac:dyDescent="0.3">
      <c r="A225" s="20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2"/>
    </row>
    <row r="226" spans="1:14" ht="14.4" x14ac:dyDescent="0.3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2"/>
    </row>
    <row r="227" spans="1:14" ht="14.4" x14ac:dyDescent="0.3">
      <c r="A227" s="20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2"/>
    </row>
    <row r="228" spans="1:14" ht="14.4" x14ac:dyDescent="0.3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2"/>
    </row>
    <row r="229" spans="1:14" ht="14.4" x14ac:dyDescent="0.3">
      <c r="A229" s="20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2"/>
    </row>
    <row r="230" spans="1:14" ht="14.4" x14ac:dyDescent="0.3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2"/>
    </row>
    <row r="231" spans="1:14" ht="14.4" x14ac:dyDescent="0.3">
      <c r="A231" s="20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2"/>
    </row>
    <row r="232" spans="1:14" ht="14.4" x14ac:dyDescent="0.3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2"/>
    </row>
    <row r="233" spans="1:14" ht="14.4" x14ac:dyDescent="0.3">
      <c r="A233" s="20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2"/>
    </row>
    <row r="234" spans="1:14" ht="14.4" x14ac:dyDescent="0.3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2"/>
    </row>
    <row r="235" spans="1:14" ht="14.4" x14ac:dyDescent="0.3">
      <c r="A235" s="20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2"/>
    </row>
    <row r="236" spans="1:14" ht="14.4" x14ac:dyDescent="0.3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2"/>
    </row>
    <row r="237" spans="1:14" ht="14.4" x14ac:dyDescent="0.3">
      <c r="A237" s="20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2"/>
    </row>
    <row r="238" spans="1:14" ht="14.4" x14ac:dyDescent="0.3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2"/>
    </row>
    <row r="239" spans="1:14" ht="14.4" x14ac:dyDescent="0.3">
      <c r="A239" s="20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2"/>
    </row>
    <row r="240" spans="1:14" ht="14.4" x14ac:dyDescent="0.3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2"/>
    </row>
    <row r="241" spans="1:14" ht="14.4" x14ac:dyDescent="0.3">
      <c r="A241" s="20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2"/>
    </row>
    <row r="242" spans="1:14" ht="14.4" x14ac:dyDescent="0.3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2"/>
    </row>
    <row r="243" spans="1:14" ht="14.4" x14ac:dyDescent="0.3">
      <c r="A243" s="20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2"/>
    </row>
    <row r="244" spans="1:14" ht="14.4" x14ac:dyDescent="0.3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2"/>
    </row>
    <row r="245" spans="1:14" ht="14.4" x14ac:dyDescent="0.3">
      <c r="A245" s="20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2"/>
    </row>
    <row r="246" spans="1:14" ht="14.4" x14ac:dyDescent="0.3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2"/>
    </row>
    <row r="247" spans="1:14" ht="14.4" x14ac:dyDescent="0.3">
      <c r="A247" s="20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2"/>
    </row>
    <row r="248" spans="1:14" ht="14.4" x14ac:dyDescent="0.3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2"/>
    </row>
    <row r="249" spans="1:14" ht="14.4" x14ac:dyDescent="0.3">
      <c r="A249" s="20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2"/>
    </row>
    <row r="250" spans="1:14" ht="14.4" x14ac:dyDescent="0.3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2"/>
    </row>
    <row r="251" spans="1:14" ht="14.4" x14ac:dyDescent="0.3">
      <c r="A251" s="20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2"/>
    </row>
    <row r="252" spans="1:14" ht="14.4" x14ac:dyDescent="0.3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2"/>
    </row>
    <row r="253" spans="1:14" ht="14.4" x14ac:dyDescent="0.3">
      <c r="A253" s="20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2"/>
    </row>
    <row r="254" spans="1:14" ht="14.4" x14ac:dyDescent="0.3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2"/>
    </row>
    <row r="255" spans="1:14" ht="14.4" x14ac:dyDescent="0.3">
      <c r="A255" s="20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2"/>
    </row>
    <row r="256" spans="1:14" ht="14.4" x14ac:dyDescent="0.3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2"/>
    </row>
    <row r="257" spans="1:14" ht="14.4" x14ac:dyDescent="0.3">
      <c r="A257" s="20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2"/>
    </row>
    <row r="258" spans="1:14" ht="14.4" x14ac:dyDescent="0.3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2"/>
    </row>
    <row r="259" spans="1:14" ht="14.4" x14ac:dyDescent="0.3">
      <c r="A259" s="20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2"/>
    </row>
    <row r="260" spans="1:14" ht="14.4" x14ac:dyDescent="0.3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2"/>
    </row>
    <row r="261" spans="1:14" ht="14.4" x14ac:dyDescent="0.3">
      <c r="A261" s="20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2"/>
    </row>
    <row r="262" spans="1:14" ht="14.4" x14ac:dyDescent="0.3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2"/>
    </row>
    <row r="263" spans="1:14" ht="14.4" x14ac:dyDescent="0.3">
      <c r="A263" s="20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2"/>
    </row>
    <row r="264" spans="1:14" ht="14.4" x14ac:dyDescent="0.3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2"/>
    </row>
    <row r="265" spans="1:14" ht="14.4" x14ac:dyDescent="0.3">
      <c r="A265" s="20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2"/>
    </row>
    <row r="266" spans="1:14" ht="14.4" x14ac:dyDescent="0.3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2"/>
    </row>
    <row r="267" spans="1:14" ht="14.4" x14ac:dyDescent="0.3">
      <c r="A267" s="20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2"/>
    </row>
    <row r="268" spans="1:14" ht="14.4" x14ac:dyDescent="0.3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2"/>
    </row>
    <row r="269" spans="1:14" ht="14.4" x14ac:dyDescent="0.3">
      <c r="A269" s="20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2"/>
    </row>
    <row r="270" spans="1:14" ht="14.4" x14ac:dyDescent="0.3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2"/>
    </row>
    <row r="271" spans="1:14" ht="14.4" x14ac:dyDescent="0.3">
      <c r="A271" s="20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2"/>
    </row>
    <row r="272" spans="1:14" ht="14.4" x14ac:dyDescent="0.3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2"/>
    </row>
    <row r="273" spans="1:14" ht="14.4" x14ac:dyDescent="0.3">
      <c r="A273" s="20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2"/>
    </row>
    <row r="274" spans="1:14" ht="14.4" x14ac:dyDescent="0.3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2"/>
    </row>
    <row r="275" spans="1:14" ht="14.4" x14ac:dyDescent="0.3">
      <c r="A275" s="20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2"/>
    </row>
    <row r="276" spans="1:14" ht="14.4" x14ac:dyDescent="0.3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2"/>
    </row>
    <row r="277" spans="1:14" ht="14.4" x14ac:dyDescent="0.3">
      <c r="A277" s="20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2"/>
    </row>
    <row r="278" spans="1:14" ht="14.4" x14ac:dyDescent="0.3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 spans="1:14" ht="14.4" x14ac:dyDescent="0.3">
      <c r="A279" s="20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2"/>
    </row>
    <row r="280" spans="1:14" ht="14.4" x14ac:dyDescent="0.3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14.4" x14ac:dyDescent="0.3">
      <c r="A281" s="20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2"/>
    </row>
    <row r="282" spans="1:14" ht="14.4" x14ac:dyDescent="0.3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2"/>
    </row>
    <row r="283" spans="1:14" ht="14.4" x14ac:dyDescent="0.3">
      <c r="A283" s="20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2"/>
    </row>
    <row r="284" spans="1:14" ht="14.4" x14ac:dyDescent="0.3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14.4" x14ac:dyDescent="0.3">
      <c r="A285" s="20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2"/>
    </row>
    <row r="286" spans="1:14" ht="14.4" x14ac:dyDescent="0.3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14.4" x14ac:dyDescent="0.3">
      <c r="A287" s="20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2"/>
    </row>
    <row r="288" spans="1:14" ht="14.4" x14ac:dyDescent="0.3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14.4" x14ac:dyDescent="0.3">
      <c r="A289" s="20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2"/>
    </row>
    <row r="290" spans="1:14" ht="14.4" x14ac:dyDescent="0.3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14.4" x14ac:dyDescent="0.3">
      <c r="A291" s="20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2"/>
    </row>
    <row r="292" spans="1:14" ht="14.4" x14ac:dyDescent="0.3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14.4" x14ac:dyDescent="0.3">
      <c r="A293" s="20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2"/>
    </row>
    <row r="294" spans="1:14" ht="14.4" x14ac:dyDescent="0.3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14.4" x14ac:dyDescent="0.3">
      <c r="A295" s="20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2"/>
    </row>
    <row r="296" spans="1:14" ht="14.4" x14ac:dyDescent="0.3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2"/>
    </row>
    <row r="297" spans="1:14" ht="14.4" x14ac:dyDescent="0.3">
      <c r="A297" s="20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2"/>
    </row>
    <row r="298" spans="1:14" ht="14.4" x14ac:dyDescent="0.3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14.4" x14ac:dyDescent="0.3">
      <c r="A299" s="20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2"/>
    </row>
    <row r="300" spans="1:14" ht="14.4" x14ac:dyDescent="0.3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14.4" x14ac:dyDescent="0.3">
      <c r="A301" s="20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2"/>
    </row>
    <row r="302" spans="1:14" ht="14.4" x14ac:dyDescent="0.3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2"/>
    </row>
    <row r="303" spans="1:14" ht="14.4" x14ac:dyDescent="0.3">
      <c r="A303" s="20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2"/>
    </row>
    <row r="304" spans="1:14" ht="14.4" x14ac:dyDescent="0.3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14.4" x14ac:dyDescent="0.3">
      <c r="A305" s="20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2"/>
    </row>
    <row r="306" spans="1:14" ht="14.4" x14ac:dyDescent="0.3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14.4" x14ac:dyDescent="0.3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2"/>
    </row>
    <row r="308" spans="1:14" ht="14.4" x14ac:dyDescent="0.3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14.4" x14ac:dyDescent="0.3">
      <c r="A309" s="20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2"/>
    </row>
    <row r="310" spans="1:14" ht="14.4" x14ac:dyDescent="0.3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2"/>
    </row>
    <row r="311" spans="1:14" ht="14.4" x14ac:dyDescent="0.3">
      <c r="A311" s="20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2"/>
    </row>
    <row r="312" spans="1:14" ht="14.4" x14ac:dyDescent="0.3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14.4" x14ac:dyDescent="0.3">
      <c r="A313" s="20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2"/>
    </row>
    <row r="314" spans="1:14" ht="14.4" x14ac:dyDescent="0.3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14.4" x14ac:dyDescent="0.3">
      <c r="A315" s="20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2"/>
    </row>
    <row r="316" spans="1:14" ht="14.4" x14ac:dyDescent="0.3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2"/>
    </row>
    <row r="317" spans="1:14" ht="14.4" x14ac:dyDescent="0.3">
      <c r="A317" s="20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2"/>
    </row>
    <row r="318" spans="1:14" ht="14.4" x14ac:dyDescent="0.3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14.4" x14ac:dyDescent="0.3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2"/>
    </row>
    <row r="320" spans="1:14" ht="14.4" x14ac:dyDescent="0.3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14.4" x14ac:dyDescent="0.3">
      <c r="A321" s="20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2"/>
    </row>
    <row r="322" spans="1:14" ht="14.4" x14ac:dyDescent="0.3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14.4" x14ac:dyDescent="0.3">
      <c r="A323" s="20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2"/>
    </row>
    <row r="324" spans="1:14" ht="14.4" x14ac:dyDescent="0.3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14.4" x14ac:dyDescent="0.3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2"/>
    </row>
    <row r="326" spans="1:14" ht="14.4" x14ac:dyDescent="0.3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2"/>
    </row>
    <row r="327" spans="1:14" ht="14.4" x14ac:dyDescent="0.3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2"/>
    </row>
    <row r="328" spans="1:14" ht="14.4" x14ac:dyDescent="0.3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2"/>
    </row>
    <row r="329" spans="1:14" ht="14.4" x14ac:dyDescent="0.3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2"/>
    </row>
    <row r="330" spans="1:14" ht="14.4" x14ac:dyDescent="0.3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14.4" x14ac:dyDescent="0.3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2"/>
    </row>
    <row r="332" spans="1:14" ht="14.4" x14ac:dyDescent="0.3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2"/>
    </row>
    <row r="333" spans="1:14" ht="14.4" x14ac:dyDescent="0.3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2"/>
    </row>
    <row r="334" spans="1:14" ht="14.4" x14ac:dyDescent="0.3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2"/>
    </row>
    <row r="335" spans="1:14" ht="14.4" x14ac:dyDescent="0.3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2"/>
    </row>
    <row r="336" spans="1:14" ht="14.4" x14ac:dyDescent="0.3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2"/>
    </row>
    <row r="337" spans="1:14" ht="14.4" x14ac:dyDescent="0.3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2"/>
    </row>
    <row r="338" spans="1:14" ht="14.4" x14ac:dyDescent="0.3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2"/>
    </row>
    <row r="339" spans="1:14" ht="14.4" x14ac:dyDescent="0.3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2"/>
    </row>
    <row r="340" spans="1:14" ht="14.4" x14ac:dyDescent="0.3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2"/>
    </row>
    <row r="341" spans="1:14" ht="14.4" x14ac:dyDescent="0.3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2"/>
    </row>
    <row r="342" spans="1:14" ht="14.4" x14ac:dyDescent="0.3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2"/>
    </row>
    <row r="343" spans="1:14" ht="14.4" x14ac:dyDescent="0.3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2"/>
    </row>
    <row r="344" spans="1:14" ht="14.4" x14ac:dyDescent="0.3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2"/>
    </row>
    <row r="345" spans="1:14" ht="14.4" x14ac:dyDescent="0.3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2"/>
    </row>
    <row r="346" spans="1:14" ht="14.4" x14ac:dyDescent="0.3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2"/>
    </row>
    <row r="347" spans="1:14" ht="14.4" x14ac:dyDescent="0.3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2"/>
    </row>
    <row r="348" spans="1:14" ht="14.4" x14ac:dyDescent="0.3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2"/>
    </row>
    <row r="349" spans="1:14" ht="14.4" x14ac:dyDescent="0.3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2"/>
    </row>
    <row r="350" spans="1:14" ht="14.4" x14ac:dyDescent="0.3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2"/>
    </row>
    <row r="351" spans="1:14" ht="14.4" x14ac:dyDescent="0.3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2"/>
    </row>
    <row r="352" spans="1:14" ht="14.4" x14ac:dyDescent="0.3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2"/>
    </row>
    <row r="353" spans="1:14" ht="14.4" x14ac:dyDescent="0.3">
      <c r="A353" s="20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2"/>
    </row>
    <row r="354" spans="1:14" ht="14.4" x14ac:dyDescent="0.3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2"/>
    </row>
    <row r="355" spans="1:14" ht="14.4" x14ac:dyDescent="0.3">
      <c r="A355" s="20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2"/>
    </row>
    <row r="356" spans="1:14" ht="14.4" x14ac:dyDescent="0.3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2"/>
    </row>
    <row r="357" spans="1:14" ht="14.4" x14ac:dyDescent="0.3">
      <c r="A357" s="20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2"/>
    </row>
    <row r="358" spans="1:14" ht="14.4" x14ac:dyDescent="0.3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2"/>
    </row>
    <row r="359" spans="1:14" ht="14.4" x14ac:dyDescent="0.3">
      <c r="A359" s="20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2"/>
    </row>
    <row r="360" spans="1:14" ht="14.4" x14ac:dyDescent="0.3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2"/>
    </row>
    <row r="361" spans="1:14" ht="14.4" x14ac:dyDescent="0.3">
      <c r="A361" s="20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2"/>
    </row>
    <row r="362" spans="1:14" ht="14.4" x14ac:dyDescent="0.3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2"/>
    </row>
    <row r="363" spans="1:14" ht="14.4" x14ac:dyDescent="0.3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2"/>
    </row>
    <row r="364" spans="1:14" ht="14.4" x14ac:dyDescent="0.3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2"/>
    </row>
    <row r="365" spans="1:14" ht="14.4" x14ac:dyDescent="0.3">
      <c r="A365" s="20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2"/>
    </row>
    <row r="366" spans="1:14" ht="14.4" x14ac:dyDescent="0.3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2"/>
    </row>
    <row r="367" spans="1:14" ht="14.4" x14ac:dyDescent="0.3">
      <c r="A367" s="20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2"/>
    </row>
    <row r="368" spans="1:14" ht="14.4" x14ac:dyDescent="0.3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2"/>
    </row>
    <row r="369" spans="1:14" ht="14.4" x14ac:dyDescent="0.3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2"/>
    </row>
    <row r="370" spans="1:14" ht="14.4" x14ac:dyDescent="0.3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2"/>
    </row>
    <row r="371" spans="1:14" ht="14.4" x14ac:dyDescent="0.3">
      <c r="A371" s="20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2"/>
    </row>
    <row r="372" spans="1:14" ht="14.4" x14ac:dyDescent="0.3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2"/>
    </row>
    <row r="373" spans="1:14" ht="14.4" x14ac:dyDescent="0.3">
      <c r="A373" s="20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2"/>
    </row>
    <row r="374" spans="1:14" ht="14.4" x14ac:dyDescent="0.3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2"/>
    </row>
    <row r="375" spans="1:14" ht="14.4" x14ac:dyDescent="0.3">
      <c r="A375" s="20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2"/>
    </row>
    <row r="376" spans="1:14" ht="14.4" x14ac:dyDescent="0.3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2"/>
    </row>
    <row r="377" spans="1:14" ht="14.4" x14ac:dyDescent="0.3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2"/>
    </row>
    <row r="378" spans="1:14" ht="14.4" x14ac:dyDescent="0.3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2"/>
    </row>
    <row r="379" spans="1:14" ht="14.4" x14ac:dyDescent="0.3">
      <c r="A379" s="20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2"/>
    </row>
    <row r="380" spans="1:14" ht="14.4" x14ac:dyDescent="0.3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2"/>
    </row>
    <row r="381" spans="1:14" ht="14.4" x14ac:dyDescent="0.3">
      <c r="A381" s="20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2"/>
    </row>
    <row r="382" spans="1:14" ht="14.4" x14ac:dyDescent="0.3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2"/>
    </row>
    <row r="383" spans="1:14" ht="14.4" x14ac:dyDescent="0.3">
      <c r="A383" s="20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2"/>
    </row>
    <row r="384" spans="1:14" ht="14.4" x14ac:dyDescent="0.3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2"/>
    </row>
    <row r="385" spans="1:14" ht="14.4" x14ac:dyDescent="0.3">
      <c r="A385" s="20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2"/>
    </row>
    <row r="386" spans="1:14" ht="14.4" x14ac:dyDescent="0.3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2"/>
    </row>
    <row r="387" spans="1:14" ht="14.4" x14ac:dyDescent="0.3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2"/>
    </row>
    <row r="388" spans="1:14" ht="14.4" x14ac:dyDescent="0.3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2"/>
    </row>
    <row r="389" spans="1:14" ht="14.4" x14ac:dyDescent="0.3">
      <c r="A389" s="20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2"/>
    </row>
    <row r="390" spans="1:14" ht="14.4" x14ac:dyDescent="0.3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14.4" x14ac:dyDescent="0.3">
      <c r="A391" s="20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2"/>
    </row>
    <row r="392" spans="1:14" ht="14.4" x14ac:dyDescent="0.3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2"/>
    </row>
    <row r="393" spans="1:14" ht="14.4" x14ac:dyDescent="0.3">
      <c r="A393" s="20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2"/>
    </row>
    <row r="394" spans="1:14" ht="14.4" x14ac:dyDescent="0.3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14.4" x14ac:dyDescent="0.3">
      <c r="A395" s="20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2"/>
    </row>
    <row r="396" spans="1:14" ht="14.4" x14ac:dyDescent="0.3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14.4" x14ac:dyDescent="0.3">
      <c r="A397" s="20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2"/>
    </row>
    <row r="398" spans="1:14" ht="14.4" x14ac:dyDescent="0.3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14.4" x14ac:dyDescent="0.3">
      <c r="A399" s="20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2"/>
    </row>
    <row r="400" spans="1:14" ht="14.4" x14ac:dyDescent="0.3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14.4" x14ac:dyDescent="0.3">
      <c r="A401" s="20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2"/>
    </row>
    <row r="402" spans="1:14" ht="14.4" x14ac:dyDescent="0.3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14.4" x14ac:dyDescent="0.3">
      <c r="A403" s="20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2"/>
    </row>
    <row r="404" spans="1:14" ht="14.4" x14ac:dyDescent="0.3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14.4" x14ac:dyDescent="0.3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2"/>
    </row>
    <row r="406" spans="1:14" ht="14.4" x14ac:dyDescent="0.3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14.4" x14ac:dyDescent="0.3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2"/>
    </row>
    <row r="408" spans="1:14" ht="14.4" x14ac:dyDescent="0.3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14.4" x14ac:dyDescent="0.3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2"/>
    </row>
    <row r="410" spans="1:14" ht="14.4" x14ac:dyDescent="0.3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14.4" x14ac:dyDescent="0.3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2"/>
    </row>
    <row r="412" spans="1:14" ht="14.4" x14ac:dyDescent="0.3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14.4" x14ac:dyDescent="0.3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2"/>
    </row>
    <row r="414" spans="1:14" ht="14.4" x14ac:dyDescent="0.3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14.4" x14ac:dyDescent="0.3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2"/>
    </row>
    <row r="416" spans="1:14" ht="14.4" x14ac:dyDescent="0.3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14.4" x14ac:dyDescent="0.3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2"/>
    </row>
    <row r="418" spans="1:14" ht="14.4" x14ac:dyDescent="0.3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14.4" x14ac:dyDescent="0.3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2"/>
    </row>
    <row r="420" spans="1:14" ht="14.4" x14ac:dyDescent="0.3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14.4" x14ac:dyDescent="0.3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2"/>
    </row>
    <row r="422" spans="1:14" ht="14.4" x14ac:dyDescent="0.3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14.4" x14ac:dyDescent="0.3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2"/>
    </row>
    <row r="424" spans="1:14" ht="14.4" x14ac:dyDescent="0.3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14.4" x14ac:dyDescent="0.3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2"/>
    </row>
    <row r="426" spans="1:14" ht="14.4" x14ac:dyDescent="0.3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14.4" x14ac:dyDescent="0.3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2"/>
    </row>
    <row r="428" spans="1:14" ht="14.4" x14ac:dyDescent="0.3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14.4" x14ac:dyDescent="0.3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2"/>
    </row>
    <row r="430" spans="1:14" ht="14.4" x14ac:dyDescent="0.3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14.4" x14ac:dyDescent="0.3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2"/>
    </row>
    <row r="432" spans="1:14" ht="14.4" x14ac:dyDescent="0.3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14.4" x14ac:dyDescent="0.3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2"/>
    </row>
    <row r="434" spans="1:14" ht="14.4" x14ac:dyDescent="0.3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14.4" x14ac:dyDescent="0.3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2"/>
    </row>
    <row r="436" spans="1:14" ht="14.4" x14ac:dyDescent="0.3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2"/>
    </row>
    <row r="437" spans="1:14" ht="14.4" x14ac:dyDescent="0.3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2"/>
    </row>
    <row r="438" spans="1:14" ht="14.4" x14ac:dyDescent="0.3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14.4" x14ac:dyDescent="0.3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2"/>
    </row>
    <row r="440" spans="1:14" ht="14.4" x14ac:dyDescent="0.3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14.4" x14ac:dyDescent="0.3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2"/>
    </row>
    <row r="442" spans="1:14" ht="14.4" x14ac:dyDescent="0.3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2"/>
    </row>
    <row r="443" spans="1:14" ht="14.4" x14ac:dyDescent="0.3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2"/>
    </row>
    <row r="444" spans="1:14" ht="14.4" x14ac:dyDescent="0.3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2"/>
    </row>
    <row r="445" spans="1:14" ht="14.4" x14ac:dyDescent="0.3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2"/>
    </row>
    <row r="446" spans="1:14" ht="14.4" x14ac:dyDescent="0.3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2"/>
    </row>
    <row r="447" spans="1:14" ht="14.4" x14ac:dyDescent="0.3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2"/>
    </row>
    <row r="448" spans="1:14" ht="14.4" x14ac:dyDescent="0.3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2"/>
    </row>
    <row r="449" spans="1:14" ht="14.4" x14ac:dyDescent="0.3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2"/>
    </row>
    <row r="450" spans="1:14" ht="14.4" x14ac:dyDescent="0.3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2"/>
    </row>
    <row r="451" spans="1:14" ht="14.4" x14ac:dyDescent="0.3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2"/>
    </row>
    <row r="452" spans="1:14" ht="14.4" x14ac:dyDescent="0.3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2"/>
    </row>
    <row r="453" spans="1:14" ht="14.4" x14ac:dyDescent="0.3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2"/>
    </row>
    <row r="454" spans="1:14" ht="14.4" x14ac:dyDescent="0.3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2"/>
    </row>
    <row r="455" spans="1:14" ht="14.4" x14ac:dyDescent="0.3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2"/>
    </row>
    <row r="456" spans="1:14" ht="14.4" x14ac:dyDescent="0.3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2"/>
    </row>
    <row r="457" spans="1:14" ht="14.4" x14ac:dyDescent="0.3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2"/>
    </row>
    <row r="458" spans="1:14" ht="14.4" x14ac:dyDescent="0.3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2"/>
    </row>
    <row r="459" spans="1:14" ht="14.4" x14ac:dyDescent="0.3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2"/>
    </row>
    <row r="460" spans="1:14" ht="14.4" x14ac:dyDescent="0.3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2"/>
    </row>
    <row r="461" spans="1:14" ht="14.4" x14ac:dyDescent="0.3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2"/>
    </row>
    <row r="462" spans="1:14" ht="14.4" x14ac:dyDescent="0.3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2"/>
    </row>
    <row r="463" spans="1:14" ht="14.4" x14ac:dyDescent="0.3">
      <c r="A463" s="20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2"/>
    </row>
    <row r="464" spans="1:14" ht="14.4" x14ac:dyDescent="0.3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2"/>
    </row>
    <row r="465" spans="1:14" ht="14.4" x14ac:dyDescent="0.3">
      <c r="A465" s="20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2"/>
    </row>
    <row r="466" spans="1:14" ht="14.4" x14ac:dyDescent="0.3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2"/>
    </row>
    <row r="467" spans="1:14" ht="14.4" x14ac:dyDescent="0.3">
      <c r="A467" s="20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2"/>
    </row>
    <row r="468" spans="1:14" ht="14.4" x14ac:dyDescent="0.3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2"/>
    </row>
    <row r="469" spans="1:14" ht="14.4" x14ac:dyDescent="0.3">
      <c r="A469" s="20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2"/>
    </row>
    <row r="470" spans="1:14" ht="14.4" x14ac:dyDescent="0.3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2"/>
    </row>
    <row r="471" spans="1:14" ht="14.4" x14ac:dyDescent="0.3">
      <c r="A471" s="20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2"/>
    </row>
    <row r="472" spans="1:14" ht="14.4" x14ac:dyDescent="0.3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2"/>
    </row>
    <row r="473" spans="1:14" ht="14.4" x14ac:dyDescent="0.3">
      <c r="A473" s="20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2"/>
    </row>
    <row r="474" spans="1:14" ht="14.4" x14ac:dyDescent="0.3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2"/>
    </row>
    <row r="475" spans="1:14" ht="14.4" x14ac:dyDescent="0.3">
      <c r="A475" s="20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2"/>
    </row>
    <row r="476" spans="1:14" ht="14.4" x14ac:dyDescent="0.3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2"/>
    </row>
    <row r="477" spans="1:14" ht="14.4" x14ac:dyDescent="0.3">
      <c r="A477" s="20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2"/>
    </row>
    <row r="478" spans="1:14" ht="14.4" x14ac:dyDescent="0.3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2"/>
    </row>
    <row r="479" spans="1:14" ht="14.4" x14ac:dyDescent="0.3">
      <c r="A479" s="20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2"/>
    </row>
    <row r="480" spans="1:14" ht="14.4" x14ac:dyDescent="0.3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2"/>
    </row>
    <row r="481" spans="1:14" ht="14.4" x14ac:dyDescent="0.3">
      <c r="A481" s="20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2"/>
    </row>
    <row r="482" spans="1:14" ht="14.4" x14ac:dyDescent="0.3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2"/>
    </row>
    <row r="483" spans="1:14" ht="14.4" x14ac:dyDescent="0.3">
      <c r="A483" s="20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2"/>
    </row>
    <row r="484" spans="1:14" ht="14.4" x14ac:dyDescent="0.3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2"/>
    </row>
    <row r="485" spans="1:14" ht="14.4" x14ac:dyDescent="0.3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2"/>
    </row>
    <row r="486" spans="1:14" ht="14.4" x14ac:dyDescent="0.3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2"/>
    </row>
    <row r="487" spans="1:14" ht="14.4" x14ac:dyDescent="0.3">
      <c r="A487" s="20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2"/>
    </row>
    <row r="488" spans="1:14" ht="14.4" x14ac:dyDescent="0.3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2"/>
    </row>
    <row r="489" spans="1:14" ht="14.4" x14ac:dyDescent="0.3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2"/>
    </row>
    <row r="490" spans="1:14" ht="14.4" x14ac:dyDescent="0.3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2"/>
    </row>
    <row r="491" spans="1:14" ht="14.4" x14ac:dyDescent="0.3">
      <c r="A491" s="20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2"/>
    </row>
    <row r="492" spans="1:14" ht="14.4" x14ac:dyDescent="0.3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2"/>
    </row>
    <row r="493" spans="1:14" ht="14.4" x14ac:dyDescent="0.3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2"/>
    </row>
    <row r="494" spans="1:14" ht="14.4" x14ac:dyDescent="0.3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2"/>
    </row>
    <row r="495" spans="1:14" ht="14.4" x14ac:dyDescent="0.3">
      <c r="A495" s="20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2"/>
    </row>
    <row r="496" spans="1:14" ht="14.4" x14ac:dyDescent="0.3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2"/>
    </row>
    <row r="497" spans="1:14" ht="14.4" x14ac:dyDescent="0.3">
      <c r="A497" s="20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2"/>
    </row>
    <row r="498" spans="1:14" ht="14.4" x14ac:dyDescent="0.3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14.4" x14ac:dyDescent="0.3">
      <c r="A499" s="20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2"/>
    </row>
    <row r="500" spans="1:14" ht="14.4" x14ac:dyDescent="0.3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14.4" x14ac:dyDescent="0.3">
      <c r="A501" s="20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2"/>
    </row>
    <row r="502" spans="1:14" ht="14.4" x14ac:dyDescent="0.3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14.4" x14ac:dyDescent="0.3">
      <c r="A503" s="20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2"/>
    </row>
    <row r="504" spans="1:14" ht="14.4" x14ac:dyDescent="0.3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14.4" x14ac:dyDescent="0.3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2"/>
    </row>
    <row r="506" spans="1:14" ht="14.4" x14ac:dyDescent="0.3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14.4" x14ac:dyDescent="0.3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2"/>
    </row>
    <row r="508" spans="1:14" ht="14.4" x14ac:dyDescent="0.3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14.4" x14ac:dyDescent="0.3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2"/>
    </row>
    <row r="510" spans="1:14" ht="14.4" x14ac:dyDescent="0.3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14.4" x14ac:dyDescent="0.3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2"/>
    </row>
    <row r="512" spans="1:14" ht="14.4" x14ac:dyDescent="0.3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14.4" x14ac:dyDescent="0.3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2"/>
    </row>
    <row r="514" spans="1:14" ht="14.4" x14ac:dyDescent="0.3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14.4" x14ac:dyDescent="0.3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2"/>
    </row>
    <row r="516" spans="1:14" ht="14.4" x14ac:dyDescent="0.3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14.4" x14ac:dyDescent="0.3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2"/>
    </row>
    <row r="518" spans="1:14" ht="14.4" x14ac:dyDescent="0.3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14.4" x14ac:dyDescent="0.3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2"/>
    </row>
    <row r="520" spans="1:14" ht="14.4" x14ac:dyDescent="0.3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14.4" x14ac:dyDescent="0.3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2"/>
    </row>
    <row r="522" spans="1:14" ht="14.4" x14ac:dyDescent="0.3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14.4" x14ac:dyDescent="0.3">
      <c r="A523" s="20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2"/>
    </row>
    <row r="524" spans="1:14" ht="14.4" x14ac:dyDescent="0.3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14.4" x14ac:dyDescent="0.3">
      <c r="A525" s="20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2"/>
    </row>
    <row r="526" spans="1:14" ht="14.4" x14ac:dyDescent="0.3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14.4" x14ac:dyDescent="0.3">
      <c r="A527" s="20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2"/>
    </row>
    <row r="528" spans="1:14" ht="14.4" x14ac:dyDescent="0.3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14.4" x14ac:dyDescent="0.3">
      <c r="A529" s="20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2"/>
    </row>
    <row r="530" spans="1:14" ht="14.4" x14ac:dyDescent="0.3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14.4" x14ac:dyDescent="0.3">
      <c r="A531" s="20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2"/>
    </row>
    <row r="532" spans="1:14" ht="14.4" x14ac:dyDescent="0.3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14.4" x14ac:dyDescent="0.3">
      <c r="A533" s="20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2"/>
    </row>
    <row r="534" spans="1:14" ht="14.4" x14ac:dyDescent="0.3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14.4" x14ac:dyDescent="0.3">
      <c r="A535" s="20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2"/>
    </row>
    <row r="536" spans="1:14" ht="14.4" x14ac:dyDescent="0.3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14.4" x14ac:dyDescent="0.3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2"/>
    </row>
    <row r="538" spans="1:14" ht="14.4" x14ac:dyDescent="0.3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14.4" x14ac:dyDescent="0.3">
      <c r="A539" s="20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2"/>
    </row>
    <row r="540" spans="1:14" ht="14.4" x14ac:dyDescent="0.3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14.4" x14ac:dyDescent="0.3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2"/>
    </row>
    <row r="542" spans="1:14" ht="14.4" x14ac:dyDescent="0.3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14.4" x14ac:dyDescent="0.3">
      <c r="A543" s="20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2"/>
    </row>
    <row r="544" spans="1:14" ht="14.4" x14ac:dyDescent="0.3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14.4" x14ac:dyDescent="0.3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2"/>
    </row>
    <row r="546" spans="1:14" ht="14.4" x14ac:dyDescent="0.3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14.4" x14ac:dyDescent="0.3">
      <c r="A547" s="20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2"/>
    </row>
    <row r="548" spans="1:14" ht="14.4" x14ac:dyDescent="0.3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14.4" x14ac:dyDescent="0.3">
      <c r="A549" s="20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2"/>
    </row>
    <row r="550" spans="1:14" ht="14.4" x14ac:dyDescent="0.3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14.4" x14ac:dyDescent="0.3">
      <c r="A551" s="20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2"/>
    </row>
    <row r="552" spans="1:14" ht="14.4" x14ac:dyDescent="0.3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2"/>
    </row>
    <row r="553" spans="1:14" ht="14.4" x14ac:dyDescent="0.3">
      <c r="A553" s="20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2"/>
    </row>
    <row r="554" spans="1:14" ht="14.4" x14ac:dyDescent="0.3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2"/>
    </row>
    <row r="555" spans="1:14" ht="14.4" x14ac:dyDescent="0.3">
      <c r="A555" s="20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2"/>
    </row>
    <row r="556" spans="1:14" ht="14.4" x14ac:dyDescent="0.3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2"/>
    </row>
    <row r="557" spans="1:14" ht="14.4" x14ac:dyDescent="0.3">
      <c r="A557" s="20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2"/>
    </row>
    <row r="558" spans="1:14" ht="14.4" x14ac:dyDescent="0.3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2"/>
    </row>
    <row r="559" spans="1:14" ht="14.4" x14ac:dyDescent="0.3">
      <c r="A559" s="20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2"/>
    </row>
    <row r="560" spans="1:14" ht="14.4" x14ac:dyDescent="0.3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2"/>
    </row>
    <row r="561" spans="1:14" ht="14.4" x14ac:dyDescent="0.3">
      <c r="A561" s="20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2"/>
    </row>
    <row r="562" spans="1:14" ht="14.4" x14ac:dyDescent="0.3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2"/>
    </row>
    <row r="563" spans="1:14" ht="14.4" x14ac:dyDescent="0.3">
      <c r="A563" s="20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2"/>
    </row>
    <row r="564" spans="1:14" ht="14.4" x14ac:dyDescent="0.3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2"/>
    </row>
    <row r="565" spans="1:14" ht="14.4" x14ac:dyDescent="0.3">
      <c r="A565" s="20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2"/>
    </row>
    <row r="566" spans="1:14" ht="14.4" x14ac:dyDescent="0.3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2"/>
    </row>
    <row r="567" spans="1:14" ht="14.4" x14ac:dyDescent="0.3">
      <c r="A567" s="20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2"/>
    </row>
    <row r="568" spans="1:14" ht="14.4" x14ac:dyDescent="0.3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2"/>
    </row>
    <row r="569" spans="1:14" ht="14.4" x14ac:dyDescent="0.3">
      <c r="A569" s="20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2"/>
    </row>
    <row r="570" spans="1:14" ht="14.4" x14ac:dyDescent="0.3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2"/>
    </row>
    <row r="571" spans="1:14" ht="14.4" x14ac:dyDescent="0.3">
      <c r="A571" s="20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2"/>
    </row>
    <row r="572" spans="1:14" ht="14.4" x14ac:dyDescent="0.3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2"/>
    </row>
    <row r="573" spans="1:14" ht="14.4" x14ac:dyDescent="0.3">
      <c r="A573" s="20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2"/>
    </row>
    <row r="574" spans="1:14" ht="14.4" x14ac:dyDescent="0.3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2"/>
    </row>
    <row r="575" spans="1:14" ht="14.4" x14ac:dyDescent="0.3">
      <c r="A575" s="20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2"/>
    </row>
    <row r="576" spans="1:14" ht="14.4" x14ac:dyDescent="0.3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2"/>
    </row>
    <row r="577" spans="1:14" ht="14.4" x14ac:dyDescent="0.3">
      <c r="A577" s="20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2"/>
    </row>
    <row r="578" spans="1:14" ht="14.4" x14ac:dyDescent="0.3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2"/>
    </row>
    <row r="579" spans="1:14" ht="14.4" x14ac:dyDescent="0.3">
      <c r="A579" s="20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2"/>
    </row>
    <row r="580" spans="1:14" ht="14.4" x14ac:dyDescent="0.3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2"/>
    </row>
    <row r="581" spans="1:14" ht="14.4" x14ac:dyDescent="0.3">
      <c r="A581" s="20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2"/>
    </row>
    <row r="582" spans="1:14" ht="14.4" x14ac:dyDescent="0.3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2"/>
    </row>
    <row r="583" spans="1:14" ht="14.4" x14ac:dyDescent="0.3">
      <c r="A583" s="20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2"/>
    </row>
    <row r="584" spans="1:14" ht="14.4" x14ac:dyDescent="0.3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2"/>
    </row>
    <row r="585" spans="1:14" ht="14.4" x14ac:dyDescent="0.3">
      <c r="A585" s="20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2"/>
    </row>
    <row r="586" spans="1:14" ht="14.4" x14ac:dyDescent="0.3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2"/>
    </row>
    <row r="587" spans="1:14" ht="14.4" x14ac:dyDescent="0.3">
      <c r="A587" s="20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2"/>
    </row>
    <row r="588" spans="1:14" ht="14.4" x14ac:dyDescent="0.3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2"/>
    </row>
    <row r="589" spans="1:14" ht="14.4" x14ac:dyDescent="0.3">
      <c r="A589" s="20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2"/>
    </row>
    <row r="590" spans="1:14" ht="14.4" x14ac:dyDescent="0.3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2"/>
    </row>
    <row r="591" spans="1:14" ht="14.4" x14ac:dyDescent="0.3">
      <c r="A591" s="20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2"/>
    </row>
    <row r="592" spans="1:14" ht="14.4" x14ac:dyDescent="0.3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2"/>
    </row>
    <row r="593" spans="1:14" ht="14.4" x14ac:dyDescent="0.3">
      <c r="A593" s="20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2"/>
    </row>
    <row r="594" spans="1:14" ht="14.4" x14ac:dyDescent="0.3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2"/>
    </row>
    <row r="595" spans="1:14" ht="14.4" x14ac:dyDescent="0.3">
      <c r="A595" s="20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2"/>
    </row>
    <row r="596" spans="1:14" ht="14.4" x14ac:dyDescent="0.3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2"/>
    </row>
    <row r="597" spans="1:14" ht="14.4" x14ac:dyDescent="0.3">
      <c r="A597" s="20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2"/>
    </row>
    <row r="598" spans="1:14" ht="14.4" x14ac:dyDescent="0.3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2"/>
    </row>
    <row r="599" spans="1:14" ht="14.4" x14ac:dyDescent="0.3">
      <c r="A599" s="20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2"/>
    </row>
    <row r="600" spans="1:14" ht="14.4" x14ac:dyDescent="0.3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2"/>
    </row>
    <row r="601" spans="1:14" ht="14.4" x14ac:dyDescent="0.3">
      <c r="A601" s="20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2"/>
    </row>
    <row r="602" spans="1:14" ht="14.4" x14ac:dyDescent="0.3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2"/>
    </row>
    <row r="603" spans="1:14" ht="14.4" x14ac:dyDescent="0.3">
      <c r="A603" s="20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2"/>
    </row>
    <row r="604" spans="1:14" ht="14.4" x14ac:dyDescent="0.3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2"/>
    </row>
    <row r="605" spans="1:14" ht="14.4" x14ac:dyDescent="0.3">
      <c r="A605" s="20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2"/>
    </row>
    <row r="606" spans="1:14" ht="14.4" x14ac:dyDescent="0.3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2"/>
    </row>
    <row r="607" spans="1:14" ht="14.4" x14ac:dyDescent="0.3">
      <c r="A607" s="20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2"/>
    </row>
    <row r="608" spans="1:14" ht="14.4" x14ac:dyDescent="0.3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14.4" x14ac:dyDescent="0.3">
      <c r="A609" s="20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2"/>
    </row>
    <row r="610" spans="1:14" ht="14.4" x14ac:dyDescent="0.3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14.4" x14ac:dyDescent="0.3">
      <c r="A611" s="20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2"/>
    </row>
    <row r="612" spans="1:14" ht="14.4" x14ac:dyDescent="0.3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2"/>
    </row>
    <row r="613" spans="1:14" ht="14.4" x14ac:dyDescent="0.3">
      <c r="A613" s="20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2"/>
    </row>
    <row r="614" spans="1:14" ht="14.4" x14ac:dyDescent="0.3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14.4" x14ac:dyDescent="0.3">
      <c r="A615" s="20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2"/>
    </row>
    <row r="616" spans="1:14" ht="14.4" x14ac:dyDescent="0.3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14.4" x14ac:dyDescent="0.3">
      <c r="A617" s="20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2"/>
    </row>
    <row r="618" spans="1:14" ht="14.4" x14ac:dyDescent="0.3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14.4" x14ac:dyDescent="0.3">
      <c r="A619" s="20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2"/>
    </row>
    <row r="620" spans="1:14" ht="14.4" x14ac:dyDescent="0.3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14.4" x14ac:dyDescent="0.3">
      <c r="A621" s="20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2"/>
    </row>
    <row r="622" spans="1:14" ht="14.4" x14ac:dyDescent="0.3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14.4" x14ac:dyDescent="0.3">
      <c r="A623" s="20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2"/>
    </row>
    <row r="624" spans="1:14" ht="14.4" x14ac:dyDescent="0.3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14.4" x14ac:dyDescent="0.3">
      <c r="A625" s="20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2"/>
    </row>
    <row r="626" spans="1:14" ht="14.4" x14ac:dyDescent="0.3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2"/>
    </row>
    <row r="627" spans="1:14" ht="14.4" x14ac:dyDescent="0.3">
      <c r="A627" s="20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2"/>
    </row>
    <row r="628" spans="1:14" ht="14.4" x14ac:dyDescent="0.3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14.4" x14ac:dyDescent="0.3">
      <c r="A629" s="20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2"/>
    </row>
    <row r="630" spans="1:14" ht="14.4" x14ac:dyDescent="0.3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14.4" x14ac:dyDescent="0.3">
      <c r="A631" s="20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2"/>
    </row>
    <row r="632" spans="1:14" ht="14.4" x14ac:dyDescent="0.3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14.4" x14ac:dyDescent="0.3">
      <c r="A633" s="20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2"/>
    </row>
    <row r="634" spans="1:14" ht="14.4" x14ac:dyDescent="0.3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14.4" x14ac:dyDescent="0.3">
      <c r="A635" s="20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2"/>
    </row>
    <row r="636" spans="1:14" ht="14.4" x14ac:dyDescent="0.3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14.4" x14ac:dyDescent="0.3">
      <c r="A637" s="20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2"/>
    </row>
    <row r="638" spans="1:14" ht="14.4" x14ac:dyDescent="0.3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14.4" x14ac:dyDescent="0.3">
      <c r="A639" s="20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2"/>
    </row>
    <row r="640" spans="1:14" ht="14.4" x14ac:dyDescent="0.3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2"/>
    </row>
    <row r="641" spans="1:14" ht="14.4" x14ac:dyDescent="0.3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2"/>
    </row>
    <row r="642" spans="1:14" ht="14.4" x14ac:dyDescent="0.3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14.4" x14ac:dyDescent="0.3">
      <c r="A643" s="20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2"/>
    </row>
    <row r="644" spans="1:14" ht="14.4" x14ac:dyDescent="0.3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14.4" x14ac:dyDescent="0.3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2"/>
    </row>
    <row r="646" spans="1:14" ht="14.4" x14ac:dyDescent="0.3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2"/>
    </row>
    <row r="647" spans="1:14" ht="14.4" x14ac:dyDescent="0.3">
      <c r="A647" s="20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2"/>
    </row>
    <row r="648" spans="1:14" ht="14.4" x14ac:dyDescent="0.3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14.4" x14ac:dyDescent="0.3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2"/>
    </row>
    <row r="650" spans="1:14" ht="14.4" x14ac:dyDescent="0.3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14.4" x14ac:dyDescent="0.3">
      <c r="A651" s="20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2"/>
    </row>
    <row r="652" spans="1:14" ht="14.4" x14ac:dyDescent="0.3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14.4" x14ac:dyDescent="0.3">
      <c r="A653" s="20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2"/>
    </row>
    <row r="654" spans="1:14" ht="14.4" x14ac:dyDescent="0.3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14.4" x14ac:dyDescent="0.3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2"/>
    </row>
    <row r="656" spans="1:14" ht="14.4" x14ac:dyDescent="0.3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2"/>
    </row>
    <row r="657" spans="1:14" ht="14.4" x14ac:dyDescent="0.3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2"/>
    </row>
    <row r="658" spans="1:14" ht="14.4" x14ac:dyDescent="0.3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2"/>
    </row>
    <row r="659" spans="1:14" ht="14.4" x14ac:dyDescent="0.3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2"/>
    </row>
    <row r="660" spans="1:14" ht="14.4" x14ac:dyDescent="0.3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2"/>
    </row>
    <row r="661" spans="1:14" ht="14.4" x14ac:dyDescent="0.3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2"/>
    </row>
    <row r="662" spans="1:14" ht="14.4" x14ac:dyDescent="0.3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2"/>
    </row>
    <row r="663" spans="1:14" ht="14.4" x14ac:dyDescent="0.3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2"/>
    </row>
    <row r="664" spans="1:14" ht="14.4" x14ac:dyDescent="0.3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2"/>
    </row>
    <row r="665" spans="1:14" ht="14.4" x14ac:dyDescent="0.3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2"/>
    </row>
    <row r="666" spans="1:14" ht="14.4" x14ac:dyDescent="0.3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2"/>
    </row>
    <row r="667" spans="1:14" ht="14.4" x14ac:dyDescent="0.3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2"/>
    </row>
    <row r="668" spans="1:14" ht="14.4" x14ac:dyDescent="0.3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2"/>
    </row>
    <row r="669" spans="1:14" ht="14.4" x14ac:dyDescent="0.3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2"/>
    </row>
    <row r="670" spans="1:14" ht="14.4" x14ac:dyDescent="0.3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2"/>
    </row>
    <row r="671" spans="1:14" ht="14.4" x14ac:dyDescent="0.3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2"/>
    </row>
    <row r="672" spans="1:14" ht="14.4" x14ac:dyDescent="0.3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2"/>
    </row>
    <row r="673" spans="1:14" ht="14.4" x14ac:dyDescent="0.3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2"/>
    </row>
    <row r="674" spans="1:14" ht="14.4" x14ac:dyDescent="0.3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2"/>
    </row>
    <row r="675" spans="1:14" ht="14.4" x14ac:dyDescent="0.3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2"/>
    </row>
    <row r="676" spans="1:14" ht="14.4" x14ac:dyDescent="0.3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2"/>
    </row>
    <row r="677" spans="1:14" ht="14.4" x14ac:dyDescent="0.3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2"/>
    </row>
    <row r="678" spans="1:14" ht="14.4" x14ac:dyDescent="0.3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2"/>
    </row>
    <row r="679" spans="1:14" ht="14.4" x14ac:dyDescent="0.3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2"/>
    </row>
    <row r="680" spans="1:14" ht="14.4" x14ac:dyDescent="0.3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2"/>
    </row>
    <row r="681" spans="1:14" ht="14.4" x14ac:dyDescent="0.3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2"/>
    </row>
    <row r="682" spans="1:14" ht="14.4" x14ac:dyDescent="0.3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2"/>
    </row>
    <row r="683" spans="1:14" ht="14.4" x14ac:dyDescent="0.3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2"/>
    </row>
    <row r="684" spans="1:14" ht="14.4" x14ac:dyDescent="0.3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2"/>
    </row>
    <row r="685" spans="1:14" ht="14.4" x14ac:dyDescent="0.3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2"/>
    </row>
    <row r="686" spans="1:14" ht="14.4" x14ac:dyDescent="0.3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2"/>
    </row>
    <row r="687" spans="1:14" ht="14.4" x14ac:dyDescent="0.3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2"/>
    </row>
    <row r="688" spans="1:14" ht="14.4" x14ac:dyDescent="0.3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2"/>
    </row>
    <row r="689" spans="1:14" ht="14.4" x14ac:dyDescent="0.3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2"/>
    </row>
    <row r="690" spans="1:14" ht="14.4" x14ac:dyDescent="0.3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2"/>
    </row>
    <row r="691" spans="1:14" ht="14.4" x14ac:dyDescent="0.3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2"/>
    </row>
    <row r="692" spans="1:14" ht="14.4" x14ac:dyDescent="0.3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2"/>
    </row>
    <row r="693" spans="1:14" ht="14.4" x14ac:dyDescent="0.3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2"/>
    </row>
    <row r="694" spans="1:14" ht="14.4" x14ac:dyDescent="0.3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2"/>
    </row>
    <row r="695" spans="1:14" ht="14.4" x14ac:dyDescent="0.3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2"/>
    </row>
    <row r="696" spans="1:14" ht="14.4" x14ac:dyDescent="0.3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2"/>
    </row>
    <row r="697" spans="1:14" ht="14.4" x14ac:dyDescent="0.3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2"/>
    </row>
    <row r="698" spans="1:14" ht="14.4" x14ac:dyDescent="0.3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2"/>
    </row>
    <row r="699" spans="1:14" ht="14.4" x14ac:dyDescent="0.3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2"/>
    </row>
    <row r="700" spans="1:14" ht="14.4" x14ac:dyDescent="0.3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2"/>
    </row>
    <row r="701" spans="1:14" ht="14.4" x14ac:dyDescent="0.3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2"/>
    </row>
    <row r="702" spans="1:14" ht="14.4" x14ac:dyDescent="0.3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2"/>
    </row>
    <row r="703" spans="1:14" ht="14.4" x14ac:dyDescent="0.3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2"/>
    </row>
    <row r="704" spans="1:14" ht="14.4" x14ac:dyDescent="0.3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2"/>
    </row>
    <row r="705" spans="1:14" ht="14.4" x14ac:dyDescent="0.3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2"/>
    </row>
    <row r="706" spans="1:14" ht="14.4" x14ac:dyDescent="0.3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2"/>
    </row>
    <row r="707" spans="1:14" ht="14.4" x14ac:dyDescent="0.3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2"/>
    </row>
    <row r="708" spans="1:14" ht="14.4" x14ac:dyDescent="0.3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2"/>
    </row>
    <row r="709" spans="1:14" ht="14.4" x14ac:dyDescent="0.3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2"/>
    </row>
    <row r="710" spans="1:14" ht="14.4" x14ac:dyDescent="0.3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2"/>
    </row>
    <row r="711" spans="1:14" ht="14.4" x14ac:dyDescent="0.3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2"/>
    </row>
    <row r="712" spans="1:14" ht="14.4" x14ac:dyDescent="0.3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2"/>
    </row>
    <row r="713" spans="1:14" ht="14.4" x14ac:dyDescent="0.3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2"/>
    </row>
    <row r="714" spans="1:14" ht="14.4" x14ac:dyDescent="0.3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2"/>
    </row>
    <row r="715" spans="1:14" ht="14.4" x14ac:dyDescent="0.3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2"/>
    </row>
    <row r="716" spans="1:14" ht="14.4" x14ac:dyDescent="0.3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2"/>
    </row>
    <row r="717" spans="1:14" ht="14.4" x14ac:dyDescent="0.3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2"/>
    </row>
    <row r="718" spans="1:14" ht="14.4" x14ac:dyDescent="0.3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2"/>
    </row>
    <row r="719" spans="1:14" ht="14.4" x14ac:dyDescent="0.3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2"/>
    </row>
    <row r="720" spans="1:14" ht="14.4" x14ac:dyDescent="0.3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2"/>
    </row>
    <row r="721" spans="1:14" ht="14.4" x14ac:dyDescent="0.3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2"/>
    </row>
    <row r="722" spans="1:14" ht="14.4" x14ac:dyDescent="0.3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2"/>
    </row>
    <row r="723" spans="1:14" ht="14.4" x14ac:dyDescent="0.3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2"/>
    </row>
    <row r="724" spans="1:14" ht="14.4" x14ac:dyDescent="0.3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14.4" x14ac:dyDescent="0.3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2"/>
    </row>
    <row r="726" spans="1:14" ht="14.4" x14ac:dyDescent="0.3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14.4" x14ac:dyDescent="0.3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2"/>
    </row>
    <row r="728" spans="1:14" ht="14.4" x14ac:dyDescent="0.3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14.4" x14ac:dyDescent="0.3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2"/>
    </row>
    <row r="730" spans="1:14" ht="14.4" x14ac:dyDescent="0.3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14.4" x14ac:dyDescent="0.3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2"/>
    </row>
    <row r="732" spans="1:14" ht="14.4" x14ac:dyDescent="0.3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14.4" x14ac:dyDescent="0.3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2"/>
    </row>
    <row r="734" spans="1:14" ht="14.4" x14ac:dyDescent="0.3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14.4" x14ac:dyDescent="0.3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2"/>
    </row>
    <row r="736" spans="1:14" ht="14.4" x14ac:dyDescent="0.3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2"/>
    </row>
    <row r="737" spans="1:14" ht="14.4" x14ac:dyDescent="0.3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2"/>
    </row>
    <row r="738" spans="1:14" ht="14.4" x14ac:dyDescent="0.3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14.4" x14ac:dyDescent="0.3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2"/>
    </row>
    <row r="740" spans="1:14" ht="14.4" x14ac:dyDescent="0.3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14.4" x14ac:dyDescent="0.3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2"/>
    </row>
    <row r="742" spans="1:14" ht="14.4" x14ac:dyDescent="0.3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2"/>
    </row>
    <row r="743" spans="1:14" ht="14.4" x14ac:dyDescent="0.3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2"/>
    </row>
    <row r="744" spans="1:14" ht="14.4" x14ac:dyDescent="0.3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14.4" x14ac:dyDescent="0.3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2"/>
    </row>
    <row r="746" spans="1:14" ht="14.4" x14ac:dyDescent="0.3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14.4" x14ac:dyDescent="0.3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2"/>
    </row>
    <row r="748" spans="1:14" ht="14.4" x14ac:dyDescent="0.3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14.4" x14ac:dyDescent="0.3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2"/>
    </row>
    <row r="750" spans="1:14" ht="14.4" x14ac:dyDescent="0.3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2"/>
    </row>
    <row r="751" spans="1:14" ht="14.4" x14ac:dyDescent="0.3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2"/>
    </row>
    <row r="752" spans="1:14" ht="14.4" x14ac:dyDescent="0.3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14.4" x14ac:dyDescent="0.3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2"/>
    </row>
    <row r="754" spans="1:14" ht="14.4" x14ac:dyDescent="0.3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14.4" x14ac:dyDescent="0.3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2"/>
    </row>
    <row r="756" spans="1:14" ht="14.4" x14ac:dyDescent="0.3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2"/>
    </row>
    <row r="757" spans="1:14" ht="14.4" x14ac:dyDescent="0.3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2"/>
    </row>
    <row r="758" spans="1:14" ht="14.4" x14ac:dyDescent="0.3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14.4" x14ac:dyDescent="0.3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2"/>
    </row>
    <row r="760" spans="1:14" ht="14.4" x14ac:dyDescent="0.3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14.4" x14ac:dyDescent="0.3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2"/>
    </row>
    <row r="762" spans="1:14" ht="14.4" x14ac:dyDescent="0.3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14.4" x14ac:dyDescent="0.3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2"/>
    </row>
    <row r="764" spans="1:14" ht="14.4" x14ac:dyDescent="0.3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14.4" x14ac:dyDescent="0.3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2"/>
    </row>
    <row r="766" spans="1:14" ht="14.4" x14ac:dyDescent="0.3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2"/>
    </row>
    <row r="767" spans="1:14" ht="14.4" x14ac:dyDescent="0.3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2"/>
    </row>
    <row r="768" spans="1:14" ht="14.4" x14ac:dyDescent="0.3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</row>
    <row r="769" spans="1:14" ht="14.4" x14ac:dyDescent="0.3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2"/>
    </row>
    <row r="770" spans="1:14" ht="14.4" x14ac:dyDescent="0.3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2"/>
    </row>
    <row r="771" spans="1:14" ht="14.4" x14ac:dyDescent="0.3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2"/>
    </row>
    <row r="772" spans="1:14" ht="14.4" x14ac:dyDescent="0.3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2"/>
    </row>
    <row r="773" spans="1:14" ht="14.4" x14ac:dyDescent="0.3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2"/>
    </row>
    <row r="774" spans="1:14" ht="14.4" x14ac:dyDescent="0.3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2"/>
    </row>
    <row r="775" spans="1:14" ht="14.4" x14ac:dyDescent="0.3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2"/>
    </row>
    <row r="776" spans="1:14" ht="14.4" x14ac:dyDescent="0.3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2"/>
    </row>
    <row r="777" spans="1:14" ht="14.4" x14ac:dyDescent="0.3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2"/>
    </row>
    <row r="778" spans="1:14" ht="14.4" x14ac:dyDescent="0.3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2"/>
    </row>
    <row r="779" spans="1:14" ht="14.4" x14ac:dyDescent="0.3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2"/>
    </row>
    <row r="780" spans="1:14" ht="14.4" x14ac:dyDescent="0.3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2"/>
    </row>
    <row r="781" spans="1:14" ht="14.4" x14ac:dyDescent="0.3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2"/>
    </row>
    <row r="782" spans="1:14" ht="14.4" x14ac:dyDescent="0.3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2"/>
    </row>
    <row r="783" spans="1:14" ht="14.4" x14ac:dyDescent="0.3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2"/>
    </row>
    <row r="784" spans="1:14" ht="14.4" x14ac:dyDescent="0.3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2"/>
    </row>
    <row r="785" spans="1:14" ht="14.4" x14ac:dyDescent="0.3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2"/>
    </row>
    <row r="786" spans="1:14" ht="14.4" x14ac:dyDescent="0.3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2"/>
    </row>
    <row r="787" spans="1:14" ht="14.4" x14ac:dyDescent="0.3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2"/>
    </row>
    <row r="788" spans="1:14" ht="14.4" x14ac:dyDescent="0.3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2"/>
    </row>
    <row r="789" spans="1:14" ht="14.4" x14ac:dyDescent="0.3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2"/>
    </row>
    <row r="790" spans="1:14" ht="14.4" x14ac:dyDescent="0.3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2"/>
    </row>
    <row r="791" spans="1:14" ht="14.4" x14ac:dyDescent="0.3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2"/>
    </row>
    <row r="792" spans="1:14" ht="14.4" x14ac:dyDescent="0.3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2"/>
    </row>
    <row r="793" spans="1:14" ht="14.4" x14ac:dyDescent="0.3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2"/>
    </row>
    <row r="794" spans="1:14" ht="14.4" x14ac:dyDescent="0.3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2"/>
    </row>
    <row r="795" spans="1:14" ht="14.4" x14ac:dyDescent="0.3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2"/>
    </row>
    <row r="796" spans="1:14" ht="14.4" x14ac:dyDescent="0.3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2"/>
    </row>
    <row r="797" spans="1:14" ht="14.4" x14ac:dyDescent="0.3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2"/>
    </row>
    <row r="798" spans="1:14" ht="14.4" x14ac:dyDescent="0.3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2"/>
    </row>
    <row r="799" spans="1:14" ht="14.4" x14ac:dyDescent="0.3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2"/>
    </row>
    <row r="800" spans="1:14" ht="14.4" x14ac:dyDescent="0.3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2"/>
    </row>
    <row r="801" spans="1:14" ht="14.4" x14ac:dyDescent="0.3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2"/>
    </row>
    <row r="802" spans="1:14" ht="14.4" x14ac:dyDescent="0.3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2"/>
    </row>
    <row r="803" spans="1:14" ht="14.4" x14ac:dyDescent="0.3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2"/>
    </row>
    <row r="804" spans="1:14" ht="14.4" x14ac:dyDescent="0.3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2"/>
    </row>
    <row r="805" spans="1:14" ht="14.4" x14ac:dyDescent="0.3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2"/>
    </row>
    <row r="806" spans="1:14" ht="14.4" x14ac:dyDescent="0.3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2"/>
    </row>
    <row r="807" spans="1:14" ht="14.4" x14ac:dyDescent="0.3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2"/>
    </row>
    <row r="808" spans="1:14" ht="14.4" x14ac:dyDescent="0.3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2"/>
    </row>
    <row r="809" spans="1:14" ht="14.4" x14ac:dyDescent="0.3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2"/>
    </row>
    <row r="810" spans="1:14" ht="14.4" x14ac:dyDescent="0.3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2"/>
    </row>
    <row r="811" spans="1:14" ht="14.4" x14ac:dyDescent="0.3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2"/>
    </row>
    <row r="812" spans="1:14" ht="14.4" x14ac:dyDescent="0.3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2"/>
    </row>
    <row r="813" spans="1:14" ht="14.4" x14ac:dyDescent="0.3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2"/>
    </row>
    <row r="814" spans="1:14" ht="14.4" x14ac:dyDescent="0.3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2"/>
    </row>
    <row r="815" spans="1:14" ht="14.4" x14ac:dyDescent="0.3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2"/>
    </row>
    <row r="816" spans="1:14" ht="14.4" x14ac:dyDescent="0.3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2"/>
    </row>
    <row r="817" spans="1:14" ht="14.4" x14ac:dyDescent="0.3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2"/>
    </row>
    <row r="818" spans="1:14" ht="14.4" x14ac:dyDescent="0.3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2"/>
    </row>
    <row r="819" spans="1:14" ht="14.4" x14ac:dyDescent="0.3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2"/>
    </row>
    <row r="820" spans="1:14" ht="14.4" x14ac:dyDescent="0.3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2"/>
    </row>
    <row r="821" spans="1:14" ht="14.4" x14ac:dyDescent="0.3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2"/>
    </row>
    <row r="822" spans="1:14" ht="14.4" x14ac:dyDescent="0.3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2"/>
    </row>
    <row r="823" spans="1:14" ht="14.4" x14ac:dyDescent="0.3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2"/>
    </row>
    <row r="824" spans="1:14" ht="14.4" x14ac:dyDescent="0.3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2"/>
    </row>
    <row r="825" spans="1:14" ht="14.4" x14ac:dyDescent="0.3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2"/>
    </row>
    <row r="826" spans="1:14" ht="14.4" x14ac:dyDescent="0.3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2"/>
    </row>
    <row r="827" spans="1:14" ht="14.4" x14ac:dyDescent="0.3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2"/>
    </row>
    <row r="828" spans="1:14" ht="14.4" x14ac:dyDescent="0.3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2"/>
    </row>
    <row r="829" spans="1:14" ht="14.4" x14ac:dyDescent="0.3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2"/>
    </row>
    <row r="830" spans="1:14" ht="14.4" x14ac:dyDescent="0.3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14.4" x14ac:dyDescent="0.3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2"/>
    </row>
    <row r="832" spans="1:14" ht="14.4" x14ac:dyDescent="0.3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2"/>
    </row>
    <row r="833" spans="1:14" ht="14.4" x14ac:dyDescent="0.3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2"/>
    </row>
    <row r="834" spans="1:14" ht="14.4" x14ac:dyDescent="0.3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14.4" x14ac:dyDescent="0.3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2"/>
    </row>
    <row r="836" spans="1:14" ht="14.4" x14ac:dyDescent="0.3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14.4" x14ac:dyDescent="0.3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2"/>
    </row>
    <row r="838" spans="1:14" ht="14.4" x14ac:dyDescent="0.3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14.4" x14ac:dyDescent="0.3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2"/>
    </row>
    <row r="840" spans="1:14" ht="14.4" x14ac:dyDescent="0.3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14.4" x14ac:dyDescent="0.3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2"/>
    </row>
    <row r="842" spans="1:14" ht="14.4" x14ac:dyDescent="0.3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14.4" x14ac:dyDescent="0.3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2"/>
    </row>
    <row r="844" spans="1:14" ht="14.4" x14ac:dyDescent="0.3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14.4" x14ac:dyDescent="0.3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2"/>
    </row>
    <row r="846" spans="1:14" ht="14.4" x14ac:dyDescent="0.3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2"/>
    </row>
    <row r="847" spans="1:14" ht="14.4" x14ac:dyDescent="0.3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2"/>
    </row>
    <row r="848" spans="1:14" ht="14.4" x14ac:dyDescent="0.3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14.4" x14ac:dyDescent="0.3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2"/>
    </row>
    <row r="850" spans="1:14" ht="14.4" x14ac:dyDescent="0.3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14.4" x14ac:dyDescent="0.3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2"/>
    </row>
    <row r="852" spans="1:14" ht="14.4" x14ac:dyDescent="0.3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2"/>
    </row>
    <row r="853" spans="1:14" ht="14.4" x14ac:dyDescent="0.3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2"/>
    </row>
    <row r="854" spans="1:14" ht="14.4" x14ac:dyDescent="0.3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14.4" x14ac:dyDescent="0.3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2"/>
    </row>
    <row r="856" spans="1:14" ht="14.4" x14ac:dyDescent="0.3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14.4" x14ac:dyDescent="0.3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2"/>
    </row>
    <row r="858" spans="1:14" ht="14.4" x14ac:dyDescent="0.3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14.4" x14ac:dyDescent="0.3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2"/>
    </row>
    <row r="860" spans="1:14" ht="14.4" x14ac:dyDescent="0.3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2"/>
    </row>
    <row r="861" spans="1:14" ht="14.4" x14ac:dyDescent="0.3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2"/>
    </row>
    <row r="862" spans="1:14" ht="14.4" x14ac:dyDescent="0.3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14.4" x14ac:dyDescent="0.3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2"/>
    </row>
    <row r="864" spans="1:14" ht="14.4" x14ac:dyDescent="0.3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14.4" x14ac:dyDescent="0.3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2"/>
    </row>
    <row r="866" spans="1:14" ht="14.4" x14ac:dyDescent="0.3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14.4" x14ac:dyDescent="0.3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2"/>
    </row>
    <row r="868" spans="1:14" ht="14.4" x14ac:dyDescent="0.3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14.4" x14ac:dyDescent="0.3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2"/>
    </row>
    <row r="870" spans="1:14" ht="14.4" x14ac:dyDescent="0.3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14.4" x14ac:dyDescent="0.3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2"/>
    </row>
    <row r="872" spans="1:14" ht="14.4" x14ac:dyDescent="0.3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14.4" x14ac:dyDescent="0.3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2"/>
    </row>
    <row r="874" spans="1:14" ht="14.4" x14ac:dyDescent="0.3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14.4" x14ac:dyDescent="0.3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2"/>
    </row>
    <row r="876" spans="1:14" ht="14.4" x14ac:dyDescent="0.3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2"/>
    </row>
    <row r="877" spans="1:14" ht="14.4" x14ac:dyDescent="0.3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2"/>
    </row>
    <row r="878" spans="1:14" ht="14.4" x14ac:dyDescent="0.3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14.4" x14ac:dyDescent="0.3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2"/>
    </row>
    <row r="880" spans="1:14" ht="14.4" x14ac:dyDescent="0.3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14.4" x14ac:dyDescent="0.3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2"/>
    </row>
    <row r="882" spans="1:14" ht="14.4" x14ac:dyDescent="0.3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2"/>
    </row>
    <row r="883" spans="1:14" ht="14.4" x14ac:dyDescent="0.3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2"/>
    </row>
    <row r="884" spans="1:14" ht="14.4" x14ac:dyDescent="0.3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2"/>
    </row>
    <row r="885" spans="1:14" ht="14.4" x14ac:dyDescent="0.3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2"/>
    </row>
    <row r="886" spans="1:14" ht="14.4" x14ac:dyDescent="0.3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2"/>
    </row>
    <row r="887" spans="1:14" ht="14.4" x14ac:dyDescent="0.3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2"/>
    </row>
    <row r="888" spans="1:14" ht="14.4" x14ac:dyDescent="0.3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2"/>
    </row>
    <row r="889" spans="1:14" ht="14.4" x14ac:dyDescent="0.3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2"/>
    </row>
    <row r="890" spans="1:14" ht="14.4" x14ac:dyDescent="0.3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2"/>
    </row>
    <row r="891" spans="1:14" ht="14.4" x14ac:dyDescent="0.3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2"/>
    </row>
    <row r="892" spans="1:14" ht="14.4" x14ac:dyDescent="0.3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2"/>
    </row>
    <row r="893" spans="1:14" ht="14.4" x14ac:dyDescent="0.3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2"/>
    </row>
    <row r="894" spans="1:14" ht="14.4" x14ac:dyDescent="0.3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2"/>
    </row>
    <row r="895" spans="1:14" ht="14.4" x14ac:dyDescent="0.3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2"/>
    </row>
    <row r="896" spans="1:14" ht="14.4" x14ac:dyDescent="0.3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2"/>
    </row>
    <row r="897" spans="1:14" ht="14.4" x14ac:dyDescent="0.3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2"/>
    </row>
    <row r="898" spans="1:14" ht="14.4" x14ac:dyDescent="0.3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2"/>
    </row>
    <row r="899" spans="1:14" ht="14.4" x14ac:dyDescent="0.3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2"/>
    </row>
    <row r="900" spans="1:14" ht="14.4" x14ac:dyDescent="0.3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2"/>
    </row>
    <row r="901" spans="1:14" ht="14.4" x14ac:dyDescent="0.3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2"/>
    </row>
    <row r="902" spans="1:14" ht="14.4" x14ac:dyDescent="0.3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2"/>
    </row>
    <row r="903" spans="1:14" ht="14.4" x14ac:dyDescent="0.3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2"/>
    </row>
    <row r="904" spans="1:14" ht="14.4" x14ac:dyDescent="0.3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2"/>
    </row>
    <row r="905" spans="1:14" ht="14.4" x14ac:dyDescent="0.3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2"/>
    </row>
    <row r="906" spans="1:14" ht="14.4" x14ac:dyDescent="0.3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2"/>
    </row>
    <row r="907" spans="1:14" ht="14.4" x14ac:dyDescent="0.3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2"/>
    </row>
    <row r="908" spans="1:14" ht="14.4" x14ac:dyDescent="0.3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2"/>
    </row>
    <row r="909" spans="1:14" ht="14.4" x14ac:dyDescent="0.3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2"/>
    </row>
    <row r="910" spans="1:14" ht="14.4" x14ac:dyDescent="0.3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2"/>
    </row>
    <row r="911" spans="1:14" ht="14.4" x14ac:dyDescent="0.3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2"/>
    </row>
    <row r="912" spans="1:14" ht="14.4" x14ac:dyDescent="0.3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2"/>
    </row>
    <row r="913" spans="1:14" ht="14.4" x14ac:dyDescent="0.3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2"/>
    </row>
    <row r="914" spans="1:14" ht="14.4" x14ac:dyDescent="0.3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2"/>
    </row>
    <row r="915" spans="1:14" ht="14.4" x14ac:dyDescent="0.3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2"/>
    </row>
    <row r="916" spans="1:14" ht="14.4" x14ac:dyDescent="0.3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2"/>
    </row>
    <row r="917" spans="1:14" ht="14.4" x14ac:dyDescent="0.3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2"/>
    </row>
    <row r="918" spans="1:14" ht="14.4" x14ac:dyDescent="0.3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2"/>
    </row>
    <row r="919" spans="1:14" ht="14.4" x14ac:dyDescent="0.3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2"/>
    </row>
    <row r="920" spans="1:14" ht="14.4" x14ac:dyDescent="0.3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2"/>
    </row>
    <row r="921" spans="1:14" ht="14.4" x14ac:dyDescent="0.3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2"/>
    </row>
    <row r="922" spans="1:14" ht="14.4" x14ac:dyDescent="0.3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2"/>
    </row>
    <row r="923" spans="1:14" ht="14.4" x14ac:dyDescent="0.3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2"/>
    </row>
    <row r="924" spans="1:14" ht="14.4" x14ac:dyDescent="0.3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2"/>
    </row>
    <row r="925" spans="1:14" ht="14.4" x14ac:dyDescent="0.3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2"/>
    </row>
    <row r="926" spans="1:14" ht="14.4" x14ac:dyDescent="0.3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2"/>
    </row>
    <row r="927" spans="1:14" ht="14.4" x14ac:dyDescent="0.3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2"/>
    </row>
    <row r="928" spans="1:14" ht="14.4" x14ac:dyDescent="0.3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2"/>
    </row>
    <row r="929" spans="1:14" ht="14.4" x14ac:dyDescent="0.3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2"/>
    </row>
    <row r="930" spans="1:14" ht="14.4" x14ac:dyDescent="0.3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2"/>
    </row>
    <row r="931" spans="1:14" ht="14.4" x14ac:dyDescent="0.3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2"/>
    </row>
    <row r="932" spans="1:14" ht="14.4" x14ac:dyDescent="0.3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2"/>
    </row>
    <row r="933" spans="1:14" ht="14.4" x14ac:dyDescent="0.3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2"/>
    </row>
    <row r="934" spans="1:14" ht="14.4" x14ac:dyDescent="0.3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2"/>
    </row>
    <row r="935" spans="1:14" ht="14.4" x14ac:dyDescent="0.3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2"/>
    </row>
    <row r="936" spans="1:14" ht="14.4" x14ac:dyDescent="0.3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2"/>
    </row>
    <row r="937" spans="1:14" ht="14.4" x14ac:dyDescent="0.3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2"/>
    </row>
    <row r="938" spans="1:14" ht="14.4" x14ac:dyDescent="0.3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2"/>
    </row>
    <row r="939" spans="1:14" ht="14.4" x14ac:dyDescent="0.3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2"/>
    </row>
    <row r="940" spans="1:14" ht="14.4" x14ac:dyDescent="0.3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14.4" x14ac:dyDescent="0.3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2"/>
    </row>
    <row r="942" spans="1:14" ht="14.4" x14ac:dyDescent="0.3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2"/>
    </row>
    <row r="943" spans="1:14" ht="14.4" x14ac:dyDescent="0.3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2"/>
    </row>
    <row r="944" spans="1:14" ht="14.4" x14ac:dyDescent="0.3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14.4" x14ac:dyDescent="0.3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2"/>
    </row>
    <row r="946" spans="1:14" ht="14.4" x14ac:dyDescent="0.3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14.4" x14ac:dyDescent="0.3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2"/>
    </row>
    <row r="948" spans="1:14" ht="14.4" x14ac:dyDescent="0.3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14.4" x14ac:dyDescent="0.3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2"/>
    </row>
    <row r="950" spans="1:14" ht="14.4" x14ac:dyDescent="0.3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14.4" x14ac:dyDescent="0.3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2"/>
    </row>
    <row r="952" spans="1:14" ht="14.4" x14ac:dyDescent="0.3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14.4" x14ac:dyDescent="0.3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2"/>
    </row>
    <row r="954" spans="1:14" ht="14.4" x14ac:dyDescent="0.3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14.4" x14ac:dyDescent="0.3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2"/>
    </row>
    <row r="956" spans="1:14" ht="14.4" x14ac:dyDescent="0.3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14.4" x14ac:dyDescent="0.3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2"/>
    </row>
    <row r="958" spans="1:14" ht="14.4" x14ac:dyDescent="0.3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14.4" x14ac:dyDescent="0.3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2"/>
    </row>
    <row r="960" spans="1:14" ht="14.4" x14ac:dyDescent="0.3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14.4" x14ac:dyDescent="0.3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2"/>
    </row>
    <row r="962" spans="1:14" ht="14.4" x14ac:dyDescent="0.3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14.4" x14ac:dyDescent="0.3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2"/>
    </row>
    <row r="964" spans="1:14" ht="14.4" x14ac:dyDescent="0.3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14.4" x14ac:dyDescent="0.3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2"/>
    </row>
    <row r="966" spans="1:14" ht="14.4" x14ac:dyDescent="0.3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14.4" x14ac:dyDescent="0.3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2"/>
    </row>
    <row r="968" spans="1:14" ht="14.4" x14ac:dyDescent="0.3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14.4" x14ac:dyDescent="0.3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2"/>
    </row>
    <row r="970" spans="1:14" ht="14.4" x14ac:dyDescent="0.3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14.4" x14ac:dyDescent="0.3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2"/>
    </row>
    <row r="972" spans="1:14" ht="14.4" x14ac:dyDescent="0.3">
      <c r="A972" s="23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14.4" x14ac:dyDescent="0.3">
      <c r="A973" s="23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2"/>
    </row>
    <row r="974" spans="1:14" ht="14.4" x14ac:dyDescent="0.3">
      <c r="A974" s="23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14.4" x14ac:dyDescent="0.3">
      <c r="A975" s="23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2"/>
    </row>
    <row r="976" spans="1:14" ht="14.4" x14ac:dyDescent="0.3">
      <c r="A976" s="23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14.4" x14ac:dyDescent="0.3">
      <c r="A977" s="23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2"/>
    </row>
    <row r="978" spans="1:14" ht="14.4" x14ac:dyDescent="0.3">
      <c r="A978" s="23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14.4" x14ac:dyDescent="0.3">
      <c r="A979" s="23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2"/>
    </row>
    <row r="980" spans="1:14" ht="14.4" x14ac:dyDescent="0.3">
      <c r="A980" s="23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</sheetData>
  <conditionalFormatting sqref="A1:N980">
    <cfRule type="cellIs" dxfId="5" priority="1" operator="lessThan">
      <formula>0</formula>
    </cfRule>
  </conditionalFormatting>
  <printOptions horizontalCentered="1"/>
  <pageMargins left="0" right="0" top="0.39370078740157477" bottom="0.39370078740157477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980"/>
  <sheetViews>
    <sheetView topLeftCell="B13" workbookViewId="0">
      <selection activeCell="B41" sqref="A41:XFD41"/>
    </sheetView>
  </sheetViews>
  <sheetFormatPr defaultColWidth="14.44140625" defaultRowHeight="15" customHeight="1" x14ac:dyDescent="0.3"/>
  <cols>
    <col min="1" max="1" width="45" customWidth="1"/>
    <col min="2" max="2" width="16.44140625" customWidth="1"/>
    <col min="3" max="3" width="18.33203125" customWidth="1"/>
    <col min="4" max="9" width="18" customWidth="1"/>
    <col min="10" max="10" width="18.88671875" customWidth="1"/>
    <col min="11" max="11" width="18" customWidth="1"/>
    <col min="12" max="12" width="19.6640625" customWidth="1"/>
    <col min="13" max="13" width="19.44140625" customWidth="1"/>
    <col min="14" max="14" width="20.33203125" bestFit="1" customWidth="1"/>
  </cols>
  <sheetData>
    <row r="1" spans="1:14" ht="33" customHeight="1" x14ac:dyDescent="0.3">
      <c r="A1" s="1"/>
      <c r="B1" s="2">
        <v>46388</v>
      </c>
      <c r="C1" s="2">
        <v>46419</v>
      </c>
      <c r="D1" s="2">
        <v>46447</v>
      </c>
      <c r="E1" s="2">
        <v>46478</v>
      </c>
      <c r="F1" s="2">
        <v>46508</v>
      </c>
      <c r="G1" s="2">
        <v>46539</v>
      </c>
      <c r="H1" s="2">
        <v>46569</v>
      </c>
      <c r="I1" s="2">
        <v>46600</v>
      </c>
      <c r="J1" s="2">
        <v>46631</v>
      </c>
      <c r="K1" s="2">
        <v>46661</v>
      </c>
      <c r="L1" s="2">
        <v>46692</v>
      </c>
      <c r="M1" s="2">
        <v>46722</v>
      </c>
      <c r="N1" s="3" t="s">
        <v>0</v>
      </c>
    </row>
    <row r="2" spans="1:14" ht="33" customHeight="1" x14ac:dyDescent="0.3">
      <c r="A2" s="4" t="s">
        <v>1</v>
      </c>
      <c r="B2" s="3">
        <f>ROUNDDOWN(Dados!$B$1+('2026'!M2-('2026'!M2*Dados!$B$3)),0)</f>
        <v>110</v>
      </c>
      <c r="C2" s="3">
        <f>ROUNDDOWN(Dados!$B$1+(B2-(B2*Dados!$B$3)),0)</f>
        <v>117</v>
      </c>
      <c r="D2" s="3">
        <f>ROUNDDOWN(Dados!$B$1+(C2-(C2*Dados!$B$3)),0)</f>
        <v>124</v>
      </c>
      <c r="E2" s="3">
        <f>ROUNDDOWN(Dados!$B$1+(D2-(D2*Dados!$B$3)),0)</f>
        <v>131</v>
      </c>
      <c r="F2" s="3">
        <f>ROUNDDOWN(Dados!$B$1+(E2-(E2*Dados!$B$3)),0)</f>
        <v>138</v>
      </c>
      <c r="G2" s="3">
        <f>ROUNDDOWN(Dados!$B$1+(F2-(F2*Dados!$B$3)),0)</f>
        <v>145</v>
      </c>
      <c r="H2" s="3">
        <f>ROUNDDOWN(Dados!$B$1+(G2-(G2*Dados!$B$3)),0)</f>
        <v>152</v>
      </c>
      <c r="I2" s="3">
        <f>ROUNDDOWN(Dados!$B$1+(H2-(H2*Dados!$B$3)),0)</f>
        <v>158</v>
      </c>
      <c r="J2" s="3">
        <f>ROUNDDOWN(Dados!$B$1+(I2-(I2*Dados!$B$3)),0)</f>
        <v>164</v>
      </c>
      <c r="K2" s="3">
        <f>ROUNDDOWN(Dados!$B$1+(J2-(J2*Dados!$B$3)),0)</f>
        <v>170</v>
      </c>
      <c r="L2" s="3">
        <f>ROUNDDOWN(Dados!$B$1+(K2-(K2*Dados!$B$3)),0)</f>
        <v>176</v>
      </c>
      <c r="M2" s="3">
        <f>ROUNDDOWN(Dados!$B$1+(L2-(L2*Dados!$B$3)),0)</f>
        <v>182</v>
      </c>
      <c r="N2" s="3">
        <f>M2</f>
        <v>182</v>
      </c>
    </row>
    <row r="3" spans="1:14" ht="6" customHeight="1" x14ac:dyDescent="0.3"/>
    <row r="4" spans="1:14" ht="27" customHeight="1" x14ac:dyDescent="0.3">
      <c r="A4" s="4" t="s">
        <v>2</v>
      </c>
      <c r="B4" s="5">
        <f t="shared" ref="B4:M4" si="0">ROUND(B5+B6,2)</f>
        <v>91938</v>
      </c>
      <c r="C4" s="5">
        <f t="shared" si="0"/>
        <v>97788.6</v>
      </c>
      <c r="D4" s="5">
        <f t="shared" si="0"/>
        <v>103639.2</v>
      </c>
      <c r="E4" s="5">
        <f t="shared" si="0"/>
        <v>109489.8</v>
      </c>
      <c r="F4" s="5">
        <f t="shared" si="0"/>
        <v>115340.4</v>
      </c>
      <c r="G4" s="5">
        <f t="shared" si="0"/>
        <v>121191</v>
      </c>
      <c r="H4" s="5">
        <f t="shared" si="0"/>
        <v>127041.60000000001</v>
      </c>
      <c r="I4" s="5">
        <f t="shared" si="0"/>
        <v>132056.4</v>
      </c>
      <c r="J4" s="5">
        <f t="shared" si="0"/>
        <v>137071.20000000001</v>
      </c>
      <c r="K4" s="5">
        <f t="shared" si="0"/>
        <v>142086</v>
      </c>
      <c r="L4" s="5">
        <f t="shared" si="0"/>
        <v>147100.79999999999</v>
      </c>
      <c r="M4" s="5">
        <f t="shared" si="0"/>
        <v>152115.6</v>
      </c>
      <c r="N4" s="5">
        <f t="shared" ref="N4:N9" si="1">ROUND(SUM(B4:M4),2)</f>
        <v>1476858.6</v>
      </c>
    </row>
    <row r="5" spans="1:14" ht="14.4" x14ac:dyDescent="0.3">
      <c r="A5" s="6" t="s">
        <v>3</v>
      </c>
      <c r="B5" s="7">
        <f>ROUND(B2*Dados!$B$5,0)</f>
        <v>65670</v>
      </c>
      <c r="C5" s="7">
        <f>ROUND(C2*Dados!$B$5,0)</f>
        <v>69849</v>
      </c>
      <c r="D5" s="7">
        <f>ROUND(D2*Dados!$B$5,0)</f>
        <v>74028</v>
      </c>
      <c r="E5" s="7">
        <f>ROUND(E2*Dados!$B$5,0)</f>
        <v>78207</v>
      </c>
      <c r="F5" s="7">
        <f>ROUND(F2*Dados!$B$5,0)</f>
        <v>82386</v>
      </c>
      <c r="G5" s="7">
        <f>ROUND(G2*Dados!$B$5,0)</f>
        <v>86565</v>
      </c>
      <c r="H5" s="7">
        <f>ROUND(H2*Dados!$B$5,0)</f>
        <v>90744</v>
      </c>
      <c r="I5" s="7">
        <f>ROUND(I2*Dados!$B$5,0)</f>
        <v>94326</v>
      </c>
      <c r="J5" s="7">
        <f>ROUND(J2*Dados!$B$5,0)</f>
        <v>97908</v>
      </c>
      <c r="K5" s="7">
        <f>ROUND(K2*Dados!$B$5,0)</f>
        <v>101490</v>
      </c>
      <c r="L5" s="7">
        <f>ROUND(L2*Dados!$B$5,0)</f>
        <v>105072</v>
      </c>
      <c r="M5" s="7">
        <f>ROUND(M2*Dados!$B$5,0)</f>
        <v>108654</v>
      </c>
      <c r="N5" s="7">
        <f t="shared" si="1"/>
        <v>1054899</v>
      </c>
    </row>
    <row r="6" spans="1:14" ht="14.4" x14ac:dyDescent="0.3">
      <c r="A6" s="6" t="s">
        <v>4</v>
      </c>
      <c r="B6" s="7">
        <f>IF(Dados!$B$9&gt;0,Dados!$B$9*B2,ROUND(B2*(Dados!$B$11*Dados!$B$7),2))</f>
        <v>26268</v>
      </c>
      <c r="C6" s="7">
        <f>IF(Dados!$B$9&gt;0,Dados!$B$9*C2,ROUND(C2*(Dados!$B$11*Dados!$B$7),2))</f>
        <v>27939.599999999999</v>
      </c>
      <c r="D6" s="7">
        <f>IF(Dados!$B$9&gt;0,Dados!$B$9*D2,ROUND(D2*(Dados!$B$11*Dados!$B$7),2))</f>
        <v>29611.200000000001</v>
      </c>
      <c r="E6" s="7">
        <f>IF(Dados!$B$9&gt;0,Dados!$B$9*E2,ROUND(E2*(Dados!$B$11*Dados!$B$7),2))</f>
        <v>31282.799999999999</v>
      </c>
      <c r="F6" s="7">
        <f>IF(Dados!$B$9&gt;0,Dados!$B$9*F2,ROUND(F2*(Dados!$B$11*Dados!$B$7),2))</f>
        <v>32954.400000000001</v>
      </c>
      <c r="G6" s="7">
        <f>IF(Dados!$B$9&gt;0,Dados!$B$9*G2,ROUND(G2*(Dados!$B$11*Dados!$B$7),2))</f>
        <v>34626</v>
      </c>
      <c r="H6" s="7">
        <f>IF(Dados!$B$9&gt;0,Dados!$B$9*H2,ROUND(H2*(Dados!$B$11*Dados!$B$7),2))</f>
        <v>36297.599999999999</v>
      </c>
      <c r="I6" s="7">
        <f>IF(Dados!$B$9&gt;0,Dados!$B$9*I2,ROUND(I2*(Dados!$B$11*Dados!$B$7),2))</f>
        <v>37730.400000000001</v>
      </c>
      <c r="J6" s="7">
        <f>IF(Dados!$B$9&gt;0,Dados!$B$9*J2,ROUND(J2*(Dados!$B$11*Dados!$B$7),2))</f>
        <v>39163.199999999997</v>
      </c>
      <c r="K6" s="7">
        <f>IF(Dados!$B$9&gt;0,Dados!$B$9*K2,ROUND(K2*(Dados!$B$11*Dados!$B$7),2))</f>
        <v>40596</v>
      </c>
      <c r="L6" s="7">
        <f>IF(Dados!$B$9&gt;0,Dados!$B$9*L2,ROUND(L2*(Dados!$B$11*Dados!$B$7),2))</f>
        <v>42028.800000000003</v>
      </c>
      <c r="M6" s="7">
        <f>IF(Dados!$B$9&gt;0,Dados!$B$9*M2,ROUND(M2*(Dados!$B$11*Dados!$B$7),2))</f>
        <v>43461.599999999999</v>
      </c>
      <c r="N6" s="7">
        <f t="shared" si="1"/>
        <v>421959.6</v>
      </c>
    </row>
    <row r="7" spans="1:14" ht="14.4" x14ac:dyDescent="0.3">
      <c r="A7" s="8" t="s">
        <v>5</v>
      </c>
      <c r="B7" s="9">
        <f>B4*Dados!$E$2</f>
        <v>14710.08</v>
      </c>
      <c r="C7" s="9">
        <f>C4*Dados!$E$2</f>
        <v>15646.176000000001</v>
      </c>
      <c r="D7" s="9">
        <f>D4*Dados!$E$2</f>
        <v>16582.272000000001</v>
      </c>
      <c r="E7" s="9">
        <f>E4*Dados!$E$2</f>
        <v>17518.368000000002</v>
      </c>
      <c r="F7" s="9">
        <f>F4*Dados!$E$2</f>
        <v>18454.464</v>
      </c>
      <c r="G7" s="9">
        <f>G4*Dados!$E$2</f>
        <v>19390.560000000001</v>
      </c>
      <c r="H7" s="9">
        <f>H4*Dados!$E$2</f>
        <v>20326.656000000003</v>
      </c>
      <c r="I7" s="9">
        <f>I4*Dados!$E$2</f>
        <v>21129.024000000001</v>
      </c>
      <c r="J7" s="9">
        <f>J4*Dados!$E$2</f>
        <v>21931.392000000003</v>
      </c>
      <c r="K7" s="9">
        <f>K4*Dados!$E$2</f>
        <v>22733.760000000002</v>
      </c>
      <c r="L7" s="9">
        <f>L4*Dados!$E$2</f>
        <v>23536.127999999997</v>
      </c>
      <c r="M7" s="9">
        <f>M4*Dados!$E$2</f>
        <v>24338.496000000003</v>
      </c>
      <c r="N7" s="10">
        <f t="shared" si="1"/>
        <v>236297.38</v>
      </c>
    </row>
    <row r="8" spans="1:14" ht="21" customHeight="1" x14ac:dyDescent="0.3">
      <c r="A8" s="11" t="s">
        <v>6</v>
      </c>
      <c r="B8" s="12">
        <f t="shared" ref="B8:M8" si="2">B4-B7</f>
        <v>77227.92</v>
      </c>
      <c r="C8" s="12">
        <f t="shared" si="2"/>
        <v>82142.423999999999</v>
      </c>
      <c r="D8" s="12">
        <f t="shared" si="2"/>
        <v>87056.928</v>
      </c>
      <c r="E8" s="12">
        <f t="shared" si="2"/>
        <v>91971.432000000001</v>
      </c>
      <c r="F8" s="12">
        <f t="shared" si="2"/>
        <v>96885.935999999987</v>
      </c>
      <c r="G8" s="12">
        <f t="shared" si="2"/>
        <v>101800.44</v>
      </c>
      <c r="H8" s="12">
        <f t="shared" si="2"/>
        <v>106714.944</v>
      </c>
      <c r="I8" s="12">
        <f t="shared" si="2"/>
        <v>110927.37599999999</v>
      </c>
      <c r="J8" s="12">
        <f t="shared" si="2"/>
        <v>115139.808</v>
      </c>
      <c r="K8" s="12">
        <f t="shared" si="2"/>
        <v>119352.23999999999</v>
      </c>
      <c r="L8" s="12">
        <f t="shared" si="2"/>
        <v>123564.67199999999</v>
      </c>
      <c r="M8" s="12">
        <f t="shared" si="2"/>
        <v>127777.10400000001</v>
      </c>
      <c r="N8" s="12">
        <f t="shared" si="1"/>
        <v>1240561.22</v>
      </c>
    </row>
    <row r="9" spans="1:14" ht="21" customHeight="1" x14ac:dyDescent="0.3">
      <c r="A9" s="11" t="s">
        <v>38</v>
      </c>
      <c r="B9" s="12">
        <f t="shared" ref="B9:M9" si="3">ROUND(B8-B14-B15-B16-B17-B18,2)</f>
        <v>46444.42</v>
      </c>
      <c r="C9" s="12">
        <f t="shared" si="3"/>
        <v>49399.97</v>
      </c>
      <c r="D9" s="12">
        <f t="shared" si="3"/>
        <v>52355.53</v>
      </c>
      <c r="E9" s="12">
        <f t="shared" si="3"/>
        <v>55311.08</v>
      </c>
      <c r="F9" s="12">
        <f t="shared" si="3"/>
        <v>58266.64</v>
      </c>
      <c r="G9" s="12">
        <f t="shared" si="3"/>
        <v>61222.19</v>
      </c>
      <c r="H9" s="12">
        <f t="shared" si="3"/>
        <v>64177.74</v>
      </c>
      <c r="I9" s="12">
        <f t="shared" si="3"/>
        <v>66711.08</v>
      </c>
      <c r="J9" s="12">
        <f t="shared" si="3"/>
        <v>69244.41</v>
      </c>
      <c r="K9" s="12">
        <f t="shared" si="3"/>
        <v>71777.740000000005</v>
      </c>
      <c r="L9" s="12">
        <f t="shared" si="3"/>
        <v>74311.070000000007</v>
      </c>
      <c r="M9" s="12">
        <f t="shared" si="3"/>
        <v>76844.399999999994</v>
      </c>
      <c r="N9" s="12">
        <f t="shared" si="1"/>
        <v>746066.27</v>
      </c>
    </row>
    <row r="10" spans="1:14" ht="14.4" x14ac:dyDescent="0.3">
      <c r="A10" s="6" t="s">
        <v>8</v>
      </c>
      <c r="B10" s="13">
        <f t="shared" ref="B10:N10" si="4">IFERROR(ROUND(B9/B4,2),0)</f>
        <v>0.51</v>
      </c>
      <c r="C10" s="13">
        <f t="shared" si="4"/>
        <v>0.51</v>
      </c>
      <c r="D10" s="13">
        <f t="shared" si="4"/>
        <v>0.51</v>
      </c>
      <c r="E10" s="13">
        <f t="shared" si="4"/>
        <v>0.51</v>
      </c>
      <c r="F10" s="13">
        <f t="shared" si="4"/>
        <v>0.51</v>
      </c>
      <c r="G10" s="13">
        <f t="shared" si="4"/>
        <v>0.51</v>
      </c>
      <c r="H10" s="13">
        <f t="shared" si="4"/>
        <v>0.51</v>
      </c>
      <c r="I10" s="13">
        <f t="shared" si="4"/>
        <v>0.51</v>
      </c>
      <c r="J10" s="13">
        <f t="shared" si="4"/>
        <v>0.51</v>
      </c>
      <c r="K10" s="13">
        <f t="shared" si="4"/>
        <v>0.51</v>
      </c>
      <c r="L10" s="13">
        <f t="shared" si="4"/>
        <v>0.51</v>
      </c>
      <c r="M10" s="13">
        <f t="shared" si="4"/>
        <v>0.51</v>
      </c>
      <c r="N10" s="13">
        <f t="shared" si="4"/>
        <v>0.51</v>
      </c>
    </row>
    <row r="11" spans="1:14" ht="6" customHeight="1" x14ac:dyDescent="0.3"/>
    <row r="12" spans="1:14" ht="27" customHeight="1" x14ac:dyDescent="0.3">
      <c r="A12" s="14" t="s">
        <v>9</v>
      </c>
      <c r="B12" s="15">
        <f t="shared" ref="B12:M12" si="5">ROUND(SUM(B13,B19),2)</f>
        <v>77746.5</v>
      </c>
      <c r="C12" s="15">
        <f t="shared" si="5"/>
        <v>79737.45</v>
      </c>
      <c r="D12" s="15">
        <f t="shared" si="5"/>
        <v>81696.399999999994</v>
      </c>
      <c r="E12" s="15">
        <f t="shared" si="5"/>
        <v>83655.350000000006</v>
      </c>
      <c r="F12" s="15">
        <f t="shared" si="5"/>
        <v>85614.3</v>
      </c>
      <c r="G12" s="15">
        <f t="shared" si="5"/>
        <v>87573.25</v>
      </c>
      <c r="H12" s="15">
        <f t="shared" si="5"/>
        <v>89532.2</v>
      </c>
      <c r="I12" s="15">
        <f t="shared" si="5"/>
        <v>91211.3</v>
      </c>
      <c r="J12" s="15">
        <f t="shared" si="5"/>
        <v>92890.4</v>
      </c>
      <c r="K12" s="15">
        <f t="shared" si="5"/>
        <v>94569.5</v>
      </c>
      <c r="L12" s="15">
        <f t="shared" si="5"/>
        <v>96248.6</v>
      </c>
      <c r="M12" s="15">
        <f t="shared" si="5"/>
        <v>97927.7</v>
      </c>
      <c r="N12" s="15">
        <f t="shared" ref="N12:N40" si="6">ROUND(SUM(B12:M12),2)</f>
        <v>1058402.95</v>
      </c>
    </row>
    <row r="13" spans="1:14" ht="21" customHeight="1" x14ac:dyDescent="0.3">
      <c r="A13" s="16" t="s">
        <v>10</v>
      </c>
      <c r="B13" s="17">
        <f t="shared" ref="B13:M13" si="7">B14+B15+B16+B17+B18</f>
        <v>30783.5</v>
      </c>
      <c r="C13" s="17">
        <f t="shared" si="7"/>
        <v>32742.45</v>
      </c>
      <c r="D13" s="17">
        <f t="shared" si="7"/>
        <v>34701.4</v>
      </c>
      <c r="E13" s="17">
        <f t="shared" si="7"/>
        <v>36660.35</v>
      </c>
      <c r="F13" s="17">
        <f t="shared" si="7"/>
        <v>38619.300000000003</v>
      </c>
      <c r="G13" s="17">
        <f t="shared" si="7"/>
        <v>40578.25</v>
      </c>
      <c r="H13" s="17">
        <f t="shared" si="7"/>
        <v>42537.2</v>
      </c>
      <c r="I13" s="17">
        <f t="shared" si="7"/>
        <v>44216.3</v>
      </c>
      <c r="J13" s="17">
        <f t="shared" si="7"/>
        <v>45895.4</v>
      </c>
      <c r="K13" s="17">
        <f t="shared" si="7"/>
        <v>47574.5</v>
      </c>
      <c r="L13" s="17">
        <f t="shared" si="7"/>
        <v>49253.599999999999</v>
      </c>
      <c r="M13" s="17">
        <f t="shared" si="7"/>
        <v>50932.7</v>
      </c>
      <c r="N13" s="18">
        <f t="shared" si="6"/>
        <v>494494.95</v>
      </c>
    </row>
    <row r="14" spans="1:14" ht="14.4" x14ac:dyDescent="0.3">
      <c r="A14" s="8" t="s">
        <v>11</v>
      </c>
      <c r="B14" s="10">
        <f>B5*Dados!$E$1</f>
        <v>3283.5</v>
      </c>
      <c r="C14" s="10">
        <f>C5*Dados!$E$1</f>
        <v>3492.4500000000003</v>
      </c>
      <c r="D14" s="10">
        <f>D5*Dados!$E$1</f>
        <v>3701.4</v>
      </c>
      <c r="E14" s="10">
        <f>E5*Dados!$E$1</f>
        <v>3910.3500000000004</v>
      </c>
      <c r="F14" s="10">
        <f>F5*Dados!$E$1</f>
        <v>4119.3</v>
      </c>
      <c r="G14" s="10">
        <f>G5*Dados!$E$1</f>
        <v>4328.25</v>
      </c>
      <c r="H14" s="10">
        <f>H5*Dados!$E$1</f>
        <v>4537.2</v>
      </c>
      <c r="I14" s="10">
        <f>I5*Dados!$E$1</f>
        <v>4716.3</v>
      </c>
      <c r="J14" s="10">
        <f>J5*Dados!$E$1</f>
        <v>4895.4000000000005</v>
      </c>
      <c r="K14" s="10">
        <f>K5*Dados!$E$1</f>
        <v>5074.5</v>
      </c>
      <c r="L14" s="10">
        <f>L5*Dados!$E$1</f>
        <v>5253.6</v>
      </c>
      <c r="M14" s="10">
        <f>M5*Dados!$E$1</f>
        <v>5432.7000000000007</v>
      </c>
      <c r="N14" s="10">
        <f t="shared" si="6"/>
        <v>52744.95</v>
      </c>
    </row>
    <row r="15" spans="1:14" ht="14.4" x14ac:dyDescent="0.3">
      <c r="A15" s="19" t="s">
        <v>12</v>
      </c>
      <c r="B15" s="10">
        <f t="shared" ref="B15:M15" si="8">10*B2</f>
        <v>1100</v>
      </c>
      <c r="C15" s="10">
        <f t="shared" si="8"/>
        <v>1170</v>
      </c>
      <c r="D15" s="10">
        <f t="shared" si="8"/>
        <v>1240</v>
      </c>
      <c r="E15" s="10">
        <f t="shared" si="8"/>
        <v>1310</v>
      </c>
      <c r="F15" s="10">
        <f t="shared" si="8"/>
        <v>1380</v>
      </c>
      <c r="G15" s="10">
        <f t="shared" si="8"/>
        <v>1450</v>
      </c>
      <c r="H15" s="10">
        <f t="shared" si="8"/>
        <v>1520</v>
      </c>
      <c r="I15" s="10">
        <f t="shared" si="8"/>
        <v>1580</v>
      </c>
      <c r="J15" s="10">
        <f t="shared" si="8"/>
        <v>1640</v>
      </c>
      <c r="K15" s="10">
        <f t="shared" si="8"/>
        <v>1700</v>
      </c>
      <c r="L15" s="10">
        <f t="shared" si="8"/>
        <v>1760</v>
      </c>
      <c r="M15" s="10">
        <f t="shared" si="8"/>
        <v>1820</v>
      </c>
      <c r="N15" s="10">
        <f t="shared" si="6"/>
        <v>17670</v>
      </c>
    </row>
    <row r="16" spans="1:14" ht="14.4" x14ac:dyDescent="0.3">
      <c r="A16" s="19" t="s">
        <v>13</v>
      </c>
      <c r="B16" s="10">
        <f t="shared" ref="B16:M16" si="9">200*B2</f>
        <v>22000</v>
      </c>
      <c r="C16" s="10">
        <f t="shared" si="9"/>
        <v>23400</v>
      </c>
      <c r="D16" s="10">
        <f t="shared" si="9"/>
        <v>24800</v>
      </c>
      <c r="E16" s="10">
        <f t="shared" si="9"/>
        <v>26200</v>
      </c>
      <c r="F16" s="10">
        <f t="shared" si="9"/>
        <v>27600</v>
      </c>
      <c r="G16" s="10">
        <f t="shared" si="9"/>
        <v>29000</v>
      </c>
      <c r="H16" s="10">
        <f t="shared" si="9"/>
        <v>30400</v>
      </c>
      <c r="I16" s="10">
        <f t="shared" si="9"/>
        <v>31600</v>
      </c>
      <c r="J16" s="10">
        <f t="shared" si="9"/>
        <v>32800</v>
      </c>
      <c r="K16" s="10">
        <f t="shared" si="9"/>
        <v>34000</v>
      </c>
      <c r="L16" s="10">
        <f t="shared" si="9"/>
        <v>35200</v>
      </c>
      <c r="M16" s="10">
        <f t="shared" si="9"/>
        <v>36400</v>
      </c>
      <c r="N16" s="10">
        <f t="shared" si="6"/>
        <v>353400</v>
      </c>
    </row>
    <row r="17" spans="1:14" ht="14.4" x14ac:dyDescent="0.3">
      <c r="A17" s="19" t="s">
        <v>14</v>
      </c>
      <c r="B17" s="10">
        <f t="shared" ref="B17:M17" si="10">10*B2</f>
        <v>1100</v>
      </c>
      <c r="C17" s="10">
        <f t="shared" si="10"/>
        <v>1170</v>
      </c>
      <c r="D17" s="10">
        <f t="shared" si="10"/>
        <v>1240</v>
      </c>
      <c r="E17" s="10">
        <f t="shared" si="10"/>
        <v>1310</v>
      </c>
      <c r="F17" s="10">
        <f t="shared" si="10"/>
        <v>1380</v>
      </c>
      <c r="G17" s="10">
        <f t="shared" si="10"/>
        <v>1450</v>
      </c>
      <c r="H17" s="10">
        <f t="shared" si="10"/>
        <v>1520</v>
      </c>
      <c r="I17" s="10">
        <f t="shared" si="10"/>
        <v>1580</v>
      </c>
      <c r="J17" s="10">
        <f t="shared" si="10"/>
        <v>1640</v>
      </c>
      <c r="K17" s="10">
        <f t="shared" si="10"/>
        <v>1700</v>
      </c>
      <c r="L17" s="10">
        <f t="shared" si="10"/>
        <v>1760</v>
      </c>
      <c r="M17" s="10">
        <f t="shared" si="10"/>
        <v>1820</v>
      </c>
      <c r="N17" s="10">
        <f t="shared" si="6"/>
        <v>17670</v>
      </c>
    </row>
    <row r="18" spans="1:14" ht="14.4" x14ac:dyDescent="0.3">
      <c r="A18" s="19" t="s">
        <v>15</v>
      </c>
      <c r="B18" s="10">
        <f t="shared" ref="B18:M18" si="11">30*B2</f>
        <v>3300</v>
      </c>
      <c r="C18" s="10">
        <f t="shared" si="11"/>
        <v>3510</v>
      </c>
      <c r="D18" s="10">
        <f t="shared" si="11"/>
        <v>3720</v>
      </c>
      <c r="E18" s="10">
        <f t="shared" si="11"/>
        <v>3930</v>
      </c>
      <c r="F18" s="10">
        <f t="shared" si="11"/>
        <v>4140</v>
      </c>
      <c r="G18" s="10">
        <f t="shared" si="11"/>
        <v>4350</v>
      </c>
      <c r="H18" s="10">
        <f t="shared" si="11"/>
        <v>4560</v>
      </c>
      <c r="I18" s="10">
        <f t="shared" si="11"/>
        <v>4740</v>
      </c>
      <c r="J18" s="10">
        <f t="shared" si="11"/>
        <v>4920</v>
      </c>
      <c r="K18" s="10">
        <f t="shared" si="11"/>
        <v>5100</v>
      </c>
      <c r="L18" s="10">
        <f t="shared" si="11"/>
        <v>5280</v>
      </c>
      <c r="M18" s="10">
        <f t="shared" si="11"/>
        <v>5460</v>
      </c>
      <c r="N18" s="10">
        <f t="shared" si="6"/>
        <v>53010</v>
      </c>
    </row>
    <row r="19" spans="1:14" ht="21" customHeight="1" x14ac:dyDescent="0.3">
      <c r="A19" s="16" t="s">
        <v>16</v>
      </c>
      <c r="B19" s="17">
        <f t="shared" ref="B19:M19" si="12">SUM(B20:B40)</f>
        <v>46963</v>
      </c>
      <c r="C19" s="17">
        <f t="shared" si="12"/>
        <v>46995</v>
      </c>
      <c r="D19" s="17">
        <f t="shared" si="12"/>
        <v>46995</v>
      </c>
      <c r="E19" s="17">
        <f t="shared" si="12"/>
        <v>46995</v>
      </c>
      <c r="F19" s="17">
        <f t="shared" si="12"/>
        <v>46995</v>
      </c>
      <c r="G19" s="17">
        <f t="shared" si="12"/>
        <v>46995</v>
      </c>
      <c r="H19" s="17">
        <f t="shared" si="12"/>
        <v>46995</v>
      </c>
      <c r="I19" s="17">
        <f t="shared" si="12"/>
        <v>46995</v>
      </c>
      <c r="J19" s="17">
        <f t="shared" si="12"/>
        <v>46995</v>
      </c>
      <c r="K19" s="17">
        <f t="shared" si="12"/>
        <v>46995</v>
      </c>
      <c r="L19" s="17">
        <f t="shared" si="12"/>
        <v>46995</v>
      </c>
      <c r="M19" s="17">
        <f t="shared" si="12"/>
        <v>46995</v>
      </c>
      <c r="N19" s="18">
        <f t="shared" si="6"/>
        <v>563908</v>
      </c>
    </row>
    <row r="20" spans="1:14" ht="14.4" x14ac:dyDescent="0.3">
      <c r="A20" s="19" t="s">
        <v>17</v>
      </c>
      <c r="B20" s="9">
        <v>6660</v>
      </c>
      <c r="C20" s="9">
        <v>6660</v>
      </c>
      <c r="D20" s="9">
        <v>6660</v>
      </c>
      <c r="E20" s="9">
        <v>6660</v>
      </c>
      <c r="F20" s="9">
        <v>6660</v>
      </c>
      <c r="G20" s="9">
        <v>6660</v>
      </c>
      <c r="H20" s="9">
        <v>6660</v>
      </c>
      <c r="I20" s="9">
        <v>6660</v>
      </c>
      <c r="J20" s="9">
        <v>6660</v>
      </c>
      <c r="K20" s="9">
        <v>6660</v>
      </c>
      <c r="L20" s="9">
        <v>6660</v>
      </c>
      <c r="M20" s="9">
        <v>6660</v>
      </c>
      <c r="N20" s="10">
        <f t="shared" si="6"/>
        <v>79920</v>
      </c>
    </row>
    <row r="21" spans="1:14" ht="14.4" x14ac:dyDescent="0.3">
      <c r="A21" s="19" t="s">
        <v>18</v>
      </c>
      <c r="B21" s="9">
        <v>3885</v>
      </c>
      <c r="C21" s="9">
        <v>3885</v>
      </c>
      <c r="D21" s="9">
        <v>3885</v>
      </c>
      <c r="E21" s="9">
        <v>3885</v>
      </c>
      <c r="F21" s="9">
        <v>3885</v>
      </c>
      <c r="G21" s="9">
        <v>3885</v>
      </c>
      <c r="H21" s="9">
        <v>3885</v>
      </c>
      <c r="I21" s="9">
        <v>3885</v>
      </c>
      <c r="J21" s="9">
        <v>3885</v>
      </c>
      <c r="K21" s="9">
        <v>3885</v>
      </c>
      <c r="L21" s="9">
        <v>3885</v>
      </c>
      <c r="M21" s="9">
        <v>3885</v>
      </c>
      <c r="N21" s="10">
        <f t="shared" si="6"/>
        <v>46620</v>
      </c>
    </row>
    <row r="22" spans="1:14" ht="14.4" x14ac:dyDescent="0.3">
      <c r="A22" s="19" t="s">
        <v>18</v>
      </c>
      <c r="B22" s="9">
        <v>3885</v>
      </c>
      <c r="C22" s="9">
        <v>3885</v>
      </c>
      <c r="D22" s="9">
        <v>3885</v>
      </c>
      <c r="E22" s="9">
        <v>3885</v>
      </c>
      <c r="F22" s="9">
        <v>3885</v>
      </c>
      <c r="G22" s="9">
        <v>3885</v>
      </c>
      <c r="H22" s="9">
        <v>3885</v>
      </c>
      <c r="I22" s="9">
        <v>3885</v>
      </c>
      <c r="J22" s="9">
        <v>3885</v>
      </c>
      <c r="K22" s="9">
        <v>3885</v>
      </c>
      <c r="L22" s="9">
        <v>3885</v>
      </c>
      <c r="M22" s="9">
        <v>3885</v>
      </c>
      <c r="N22" s="10">
        <f t="shared" si="6"/>
        <v>46620</v>
      </c>
    </row>
    <row r="23" spans="1:14" ht="14.4" x14ac:dyDescent="0.3">
      <c r="A23" s="19" t="s">
        <v>18</v>
      </c>
      <c r="B23" s="9">
        <v>3885</v>
      </c>
      <c r="C23" s="9">
        <v>3885</v>
      </c>
      <c r="D23" s="9">
        <v>3885</v>
      </c>
      <c r="E23" s="9">
        <v>3885</v>
      </c>
      <c r="F23" s="9">
        <v>3885</v>
      </c>
      <c r="G23" s="9">
        <v>3885</v>
      </c>
      <c r="H23" s="9">
        <v>3885</v>
      </c>
      <c r="I23" s="9">
        <v>3885</v>
      </c>
      <c r="J23" s="9">
        <v>3885</v>
      </c>
      <c r="K23" s="9">
        <v>3885</v>
      </c>
      <c r="L23" s="9">
        <v>3885</v>
      </c>
      <c r="M23" s="9">
        <v>3885</v>
      </c>
      <c r="N23" s="10">
        <f t="shared" si="6"/>
        <v>46620</v>
      </c>
    </row>
    <row r="24" spans="1:14" ht="14.4" x14ac:dyDescent="0.3">
      <c r="A24" s="8" t="s">
        <v>19</v>
      </c>
      <c r="B24" s="9">
        <f>Dados!$E$4*Dados!$F$4</f>
        <v>1000</v>
      </c>
      <c r="C24" s="9">
        <f>Dados!$E$4*Dados!$F$4</f>
        <v>1000</v>
      </c>
      <c r="D24" s="9">
        <f>Dados!$E$4*Dados!$F$4</f>
        <v>1000</v>
      </c>
      <c r="E24" s="9">
        <f>Dados!$E$4*Dados!$F$4</f>
        <v>1000</v>
      </c>
      <c r="F24" s="9">
        <f>Dados!$E$4*Dados!$F$4</f>
        <v>1000</v>
      </c>
      <c r="G24" s="9">
        <f>Dados!$E$4*Dados!$F$4</f>
        <v>1000</v>
      </c>
      <c r="H24" s="9">
        <f>Dados!$E$4*Dados!$F$4</f>
        <v>1000</v>
      </c>
      <c r="I24" s="9">
        <f>Dados!$E$4*Dados!$F$4</f>
        <v>1000</v>
      </c>
      <c r="J24" s="9">
        <f>Dados!$E$4*Dados!$F$4</f>
        <v>1000</v>
      </c>
      <c r="K24" s="9">
        <f>Dados!$E$4*Dados!$F$4</f>
        <v>1000</v>
      </c>
      <c r="L24" s="9">
        <f>Dados!$E$4*Dados!$F$4</f>
        <v>1000</v>
      </c>
      <c r="M24" s="9">
        <f>Dados!$E$4*Dados!$F$4</f>
        <v>1000</v>
      </c>
      <c r="N24" s="10">
        <f t="shared" si="6"/>
        <v>12000</v>
      </c>
    </row>
    <row r="25" spans="1:14" ht="14.4" x14ac:dyDescent="0.3">
      <c r="A25" s="8" t="s">
        <v>20</v>
      </c>
      <c r="B25" s="9">
        <f>Dados!$E$5*Dados!$F$5</f>
        <v>2000</v>
      </c>
      <c r="C25" s="9">
        <f>Dados!$E$5*Dados!$F$5</f>
        <v>2000</v>
      </c>
      <c r="D25" s="9">
        <f>Dados!$E$5*Dados!$F$5</f>
        <v>2000</v>
      </c>
      <c r="E25" s="9">
        <f>Dados!$E$5*Dados!$F$5</f>
        <v>2000</v>
      </c>
      <c r="F25" s="9">
        <f>Dados!$E$5*Dados!$F$5</f>
        <v>2000</v>
      </c>
      <c r="G25" s="9">
        <f>Dados!$E$5*Dados!$F$5</f>
        <v>2000</v>
      </c>
      <c r="H25" s="9">
        <f>Dados!$E$5*Dados!$F$5</f>
        <v>2000</v>
      </c>
      <c r="I25" s="9">
        <f>Dados!$E$5*Dados!$F$5</f>
        <v>2000</v>
      </c>
      <c r="J25" s="9">
        <f>Dados!$E$5*Dados!$F$5</f>
        <v>2000</v>
      </c>
      <c r="K25" s="9">
        <f>Dados!$E$5*Dados!$F$5</f>
        <v>2000</v>
      </c>
      <c r="L25" s="9">
        <f>Dados!$E$5*Dados!$F$5</f>
        <v>2000</v>
      </c>
      <c r="M25" s="9">
        <f>Dados!$E$5*Dados!$F$5</f>
        <v>2000</v>
      </c>
      <c r="N25" s="10">
        <f t="shared" si="6"/>
        <v>24000</v>
      </c>
    </row>
    <row r="26" spans="1:14" ht="14.4" x14ac:dyDescent="0.3">
      <c r="A26" s="8" t="s">
        <v>21</v>
      </c>
      <c r="B26" s="9">
        <f>Dados!$E$6*Dados!$F$6</f>
        <v>2000</v>
      </c>
      <c r="C26" s="9">
        <f>Dados!$E$6*Dados!$F$6</f>
        <v>2000</v>
      </c>
      <c r="D26" s="9">
        <f>Dados!$E$6*Dados!$F$6</f>
        <v>2000</v>
      </c>
      <c r="E26" s="9">
        <f>Dados!$E$6*Dados!$F$6</f>
        <v>2000</v>
      </c>
      <c r="F26" s="9">
        <f>Dados!$E$6*Dados!$F$6</f>
        <v>2000</v>
      </c>
      <c r="G26" s="9">
        <f>Dados!$E$6*Dados!$F$6</f>
        <v>2000</v>
      </c>
      <c r="H26" s="9">
        <f>Dados!$E$6*Dados!$F$6</f>
        <v>2000</v>
      </c>
      <c r="I26" s="9">
        <f>Dados!$E$6*Dados!$F$6</f>
        <v>2000</v>
      </c>
      <c r="J26" s="9">
        <f>Dados!$E$6*Dados!$F$6</f>
        <v>2000</v>
      </c>
      <c r="K26" s="9">
        <f>Dados!$E$6*Dados!$F$6</f>
        <v>2000</v>
      </c>
      <c r="L26" s="9">
        <f>Dados!$E$6*Dados!$F$6</f>
        <v>2000</v>
      </c>
      <c r="M26" s="9">
        <f>Dados!$E$6*Dados!$F$6</f>
        <v>2000</v>
      </c>
      <c r="N26" s="10">
        <f t="shared" si="6"/>
        <v>24000</v>
      </c>
    </row>
    <row r="27" spans="1:14" ht="14.4" x14ac:dyDescent="0.3">
      <c r="A27" s="8" t="s">
        <v>22</v>
      </c>
      <c r="B27" s="9">
        <f>Dados!$E$7*Dados!$F$7</f>
        <v>2000</v>
      </c>
      <c r="C27" s="9">
        <f>Dados!$E$7*Dados!$F$7</f>
        <v>2000</v>
      </c>
      <c r="D27" s="9">
        <f>Dados!$E$7*Dados!$F$7</f>
        <v>2000</v>
      </c>
      <c r="E27" s="9">
        <f>Dados!$E$7*Dados!$F$7</f>
        <v>2000</v>
      </c>
      <c r="F27" s="9">
        <f>Dados!$E$7*Dados!$F$7</f>
        <v>2000</v>
      </c>
      <c r="G27" s="9">
        <f>Dados!$E$7*Dados!$F$7</f>
        <v>2000</v>
      </c>
      <c r="H27" s="9">
        <f>Dados!$E$7*Dados!$F$7</f>
        <v>2000</v>
      </c>
      <c r="I27" s="9">
        <f>Dados!$E$7*Dados!$F$7</f>
        <v>2000</v>
      </c>
      <c r="J27" s="9">
        <f>Dados!$E$7*Dados!$F$7</f>
        <v>2000</v>
      </c>
      <c r="K27" s="9">
        <f>Dados!$E$7*Dados!$F$7</f>
        <v>2000</v>
      </c>
      <c r="L27" s="9">
        <f>Dados!$E$7*Dados!$F$7</f>
        <v>2000</v>
      </c>
      <c r="M27" s="9">
        <f>Dados!$E$7*Dados!$F$7</f>
        <v>2000</v>
      </c>
      <c r="N27" s="10">
        <f t="shared" si="6"/>
        <v>24000</v>
      </c>
    </row>
    <row r="28" spans="1:14" ht="14.4" x14ac:dyDescent="0.3">
      <c r="A28" s="8" t="s">
        <v>23</v>
      </c>
      <c r="B28" s="9">
        <f>Dados!$E$8*Dados!$F$8</f>
        <v>3000</v>
      </c>
      <c r="C28" s="9">
        <f>Dados!$E$8*Dados!$F$8</f>
        <v>3000</v>
      </c>
      <c r="D28" s="9">
        <f>Dados!$E$8*Dados!$F$8</f>
        <v>3000</v>
      </c>
      <c r="E28" s="9">
        <f>Dados!$E$8*Dados!$F$8</f>
        <v>3000</v>
      </c>
      <c r="F28" s="9">
        <f>Dados!$E$8*Dados!$F$8</f>
        <v>3000</v>
      </c>
      <c r="G28" s="9">
        <f>Dados!$E$8*Dados!$F$8</f>
        <v>3000</v>
      </c>
      <c r="H28" s="9">
        <f>Dados!$E$8*Dados!$F$8</f>
        <v>3000</v>
      </c>
      <c r="I28" s="9">
        <f>Dados!$E$8*Dados!$F$8</f>
        <v>3000</v>
      </c>
      <c r="J28" s="9">
        <f>Dados!$E$8*Dados!$F$8</f>
        <v>3000</v>
      </c>
      <c r="K28" s="9">
        <f>Dados!$E$8*Dados!$F$8</f>
        <v>3000</v>
      </c>
      <c r="L28" s="9">
        <f>Dados!$E$8*Dados!$F$8</f>
        <v>3000</v>
      </c>
      <c r="M28" s="9">
        <f>Dados!$E$8*Dados!$F$8</f>
        <v>3000</v>
      </c>
      <c r="N28" s="10">
        <f t="shared" si="6"/>
        <v>36000</v>
      </c>
    </row>
    <row r="29" spans="1:14" ht="14.4" x14ac:dyDescent="0.3">
      <c r="A29" s="8" t="s">
        <v>24</v>
      </c>
      <c r="B29" s="9">
        <f>Dados!$E$9*Dados!$F$9</f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10">
        <f t="shared" si="6"/>
        <v>0</v>
      </c>
    </row>
    <row r="30" spans="1:14" ht="14.4" x14ac:dyDescent="0.3">
      <c r="A30" s="19" t="s">
        <v>25</v>
      </c>
      <c r="B30" s="9">
        <f>Dados!$E$10*Dados!$F$10</f>
        <v>300</v>
      </c>
      <c r="C30" s="9">
        <v>396</v>
      </c>
      <c r="D30" s="9">
        <v>396</v>
      </c>
      <c r="E30" s="9">
        <v>396</v>
      </c>
      <c r="F30" s="9">
        <v>396</v>
      </c>
      <c r="G30" s="9">
        <v>396</v>
      </c>
      <c r="H30" s="9">
        <v>396</v>
      </c>
      <c r="I30" s="9">
        <v>396</v>
      </c>
      <c r="J30" s="9">
        <v>396</v>
      </c>
      <c r="K30" s="9">
        <v>396</v>
      </c>
      <c r="L30" s="9">
        <v>396</v>
      </c>
      <c r="M30" s="9">
        <v>396</v>
      </c>
      <c r="N30" s="10">
        <f t="shared" si="6"/>
        <v>4656</v>
      </c>
    </row>
    <row r="31" spans="1:14" ht="14.4" x14ac:dyDescent="0.3">
      <c r="A31" s="19" t="s">
        <v>26</v>
      </c>
      <c r="B31" s="9">
        <v>500</v>
      </c>
      <c r="C31" s="9">
        <v>500</v>
      </c>
      <c r="D31" s="9">
        <v>500</v>
      </c>
      <c r="E31" s="9">
        <v>500</v>
      </c>
      <c r="F31" s="9">
        <v>500</v>
      </c>
      <c r="G31" s="9">
        <v>500</v>
      </c>
      <c r="H31" s="9">
        <v>500</v>
      </c>
      <c r="I31" s="9">
        <v>500</v>
      </c>
      <c r="J31" s="9">
        <v>500</v>
      </c>
      <c r="K31" s="9">
        <v>500</v>
      </c>
      <c r="L31" s="9">
        <v>500</v>
      </c>
      <c r="M31" s="9">
        <v>500</v>
      </c>
      <c r="N31" s="10">
        <f t="shared" si="6"/>
        <v>6000</v>
      </c>
    </row>
    <row r="32" spans="1:14" ht="14.4" x14ac:dyDescent="0.3">
      <c r="A32" s="19" t="s">
        <v>27</v>
      </c>
      <c r="B32" s="9">
        <v>1000</v>
      </c>
      <c r="C32" s="9">
        <v>1000</v>
      </c>
      <c r="D32" s="9">
        <v>1000</v>
      </c>
      <c r="E32" s="9">
        <v>1000</v>
      </c>
      <c r="F32" s="9">
        <v>1000</v>
      </c>
      <c r="G32" s="9">
        <v>1000</v>
      </c>
      <c r="H32" s="9">
        <v>1000</v>
      </c>
      <c r="I32" s="9">
        <v>1000</v>
      </c>
      <c r="J32" s="9">
        <v>1000</v>
      </c>
      <c r="K32" s="9">
        <v>1000</v>
      </c>
      <c r="L32" s="9">
        <v>1000</v>
      </c>
      <c r="M32" s="9">
        <v>1000</v>
      </c>
      <c r="N32" s="10">
        <f t="shared" si="6"/>
        <v>12000</v>
      </c>
    </row>
    <row r="33" spans="1:14" ht="14.4" x14ac:dyDescent="0.3">
      <c r="A33" s="19" t="s">
        <v>28</v>
      </c>
      <c r="B33" s="9">
        <v>500</v>
      </c>
      <c r="C33" s="9">
        <v>500</v>
      </c>
      <c r="D33" s="9">
        <v>500</v>
      </c>
      <c r="E33" s="9">
        <v>500</v>
      </c>
      <c r="F33" s="9">
        <v>500</v>
      </c>
      <c r="G33" s="9">
        <v>500</v>
      </c>
      <c r="H33" s="9">
        <v>500</v>
      </c>
      <c r="I33" s="9">
        <v>500</v>
      </c>
      <c r="J33" s="9">
        <v>500</v>
      </c>
      <c r="K33" s="9">
        <v>500</v>
      </c>
      <c r="L33" s="9">
        <v>500</v>
      </c>
      <c r="M33" s="9">
        <v>500</v>
      </c>
      <c r="N33" s="10">
        <f t="shared" si="6"/>
        <v>6000</v>
      </c>
    </row>
    <row r="34" spans="1:14" ht="14.4" x14ac:dyDescent="0.3">
      <c r="A34" s="19" t="s">
        <v>29</v>
      </c>
      <c r="B34" s="9">
        <v>500</v>
      </c>
      <c r="C34" s="9">
        <v>500</v>
      </c>
      <c r="D34" s="9">
        <v>500</v>
      </c>
      <c r="E34" s="9">
        <v>500</v>
      </c>
      <c r="F34" s="9">
        <v>500</v>
      </c>
      <c r="G34" s="9">
        <v>500</v>
      </c>
      <c r="H34" s="9">
        <v>500</v>
      </c>
      <c r="I34" s="9">
        <v>500</v>
      </c>
      <c r="J34" s="9">
        <v>500</v>
      </c>
      <c r="K34" s="9">
        <v>500</v>
      </c>
      <c r="L34" s="9">
        <v>500</v>
      </c>
      <c r="M34" s="9">
        <v>500</v>
      </c>
      <c r="N34" s="10">
        <f t="shared" si="6"/>
        <v>6000</v>
      </c>
    </row>
    <row r="35" spans="1:14" ht="14.4" x14ac:dyDescent="0.3">
      <c r="A35" s="19" t="s">
        <v>30</v>
      </c>
      <c r="B35" s="9">
        <v>2000</v>
      </c>
      <c r="C35" s="9">
        <v>2000</v>
      </c>
      <c r="D35" s="9">
        <v>2000</v>
      </c>
      <c r="E35" s="9">
        <v>2000</v>
      </c>
      <c r="F35" s="9">
        <v>2000</v>
      </c>
      <c r="G35" s="9">
        <v>2000</v>
      </c>
      <c r="H35" s="9">
        <v>2000</v>
      </c>
      <c r="I35" s="9">
        <v>2000</v>
      </c>
      <c r="J35" s="9">
        <v>2000</v>
      </c>
      <c r="K35" s="9">
        <v>2000</v>
      </c>
      <c r="L35" s="9">
        <v>2000</v>
      </c>
      <c r="M35" s="9">
        <v>2000</v>
      </c>
      <c r="N35" s="10">
        <f t="shared" si="6"/>
        <v>24000</v>
      </c>
    </row>
    <row r="36" spans="1:14" ht="14.4" x14ac:dyDescent="0.3">
      <c r="A36" s="19" t="s">
        <v>31</v>
      </c>
      <c r="B36" s="9">
        <f>Dados!$E$11*Dados!$F$11</f>
        <v>600</v>
      </c>
      <c r="C36" s="9">
        <v>686</v>
      </c>
      <c r="D36" s="9">
        <v>686</v>
      </c>
      <c r="E36" s="9">
        <v>686</v>
      </c>
      <c r="F36" s="9">
        <v>686</v>
      </c>
      <c r="G36" s="9">
        <v>686</v>
      </c>
      <c r="H36" s="9">
        <v>686</v>
      </c>
      <c r="I36" s="9">
        <v>686</v>
      </c>
      <c r="J36" s="9">
        <v>686</v>
      </c>
      <c r="K36" s="9">
        <v>686</v>
      </c>
      <c r="L36" s="9">
        <v>686</v>
      </c>
      <c r="M36" s="9">
        <v>686</v>
      </c>
      <c r="N36" s="10">
        <f t="shared" si="6"/>
        <v>8146</v>
      </c>
    </row>
    <row r="37" spans="1:14" ht="14.4" x14ac:dyDescent="0.3">
      <c r="A37" s="19" t="s">
        <v>32</v>
      </c>
      <c r="B37" s="9">
        <f>Dados!$E$12*Dados!$F$12</f>
        <v>1200</v>
      </c>
      <c r="C37" s="9">
        <v>1050</v>
      </c>
      <c r="D37" s="9">
        <v>1050</v>
      </c>
      <c r="E37" s="9">
        <v>1050</v>
      </c>
      <c r="F37" s="9">
        <v>1050</v>
      </c>
      <c r="G37" s="9">
        <v>1050</v>
      </c>
      <c r="H37" s="9">
        <v>1050</v>
      </c>
      <c r="I37" s="9">
        <v>1050</v>
      </c>
      <c r="J37" s="9">
        <v>1050</v>
      </c>
      <c r="K37" s="9">
        <v>1050</v>
      </c>
      <c r="L37" s="9">
        <v>1050</v>
      </c>
      <c r="M37" s="9">
        <v>1050</v>
      </c>
      <c r="N37" s="10">
        <f t="shared" si="6"/>
        <v>12750</v>
      </c>
    </row>
    <row r="38" spans="1:14" ht="14.4" x14ac:dyDescent="0.3">
      <c r="A38" s="19" t="s">
        <v>33</v>
      </c>
      <c r="B38" s="9">
        <v>48</v>
      </c>
      <c r="C38" s="9">
        <v>48</v>
      </c>
      <c r="D38" s="9">
        <v>48</v>
      </c>
      <c r="E38" s="9">
        <v>48</v>
      </c>
      <c r="F38" s="9">
        <v>48</v>
      </c>
      <c r="G38" s="9">
        <v>48</v>
      </c>
      <c r="H38" s="9">
        <v>48</v>
      </c>
      <c r="I38" s="9">
        <v>48</v>
      </c>
      <c r="J38" s="9">
        <v>48</v>
      </c>
      <c r="K38" s="9">
        <v>48</v>
      </c>
      <c r="L38" s="9">
        <v>48</v>
      </c>
      <c r="M38" s="9">
        <v>48</v>
      </c>
      <c r="N38" s="10">
        <f t="shared" si="6"/>
        <v>576</v>
      </c>
    </row>
    <row r="39" spans="1:14" ht="14.4" x14ac:dyDescent="0.3">
      <c r="A39" s="19" t="s">
        <v>34</v>
      </c>
      <c r="B39" s="9">
        <v>2000</v>
      </c>
      <c r="C39" s="9">
        <v>2000</v>
      </c>
      <c r="D39" s="9">
        <v>2000</v>
      </c>
      <c r="E39" s="9">
        <v>2000</v>
      </c>
      <c r="F39" s="9">
        <v>2000</v>
      </c>
      <c r="G39" s="9">
        <v>2000</v>
      </c>
      <c r="H39" s="9">
        <v>2000</v>
      </c>
      <c r="I39" s="9">
        <v>2000</v>
      </c>
      <c r="J39" s="9">
        <v>2000</v>
      </c>
      <c r="K39" s="9">
        <v>2000</v>
      </c>
      <c r="L39" s="9">
        <v>2000</v>
      </c>
      <c r="M39" s="9">
        <v>2000</v>
      </c>
      <c r="N39" s="10">
        <f t="shared" si="6"/>
        <v>24000</v>
      </c>
    </row>
    <row r="40" spans="1:14" ht="14.4" x14ac:dyDescent="0.3">
      <c r="A40" s="8" t="s">
        <v>35</v>
      </c>
      <c r="B40" s="10">
        <f>Dados!$E$3</f>
        <v>10000</v>
      </c>
      <c r="C40" s="10">
        <f>Dados!$E$3</f>
        <v>10000</v>
      </c>
      <c r="D40" s="10">
        <f>Dados!$E$3</f>
        <v>10000</v>
      </c>
      <c r="E40" s="10">
        <f>Dados!$E$3</f>
        <v>10000</v>
      </c>
      <c r="F40" s="10">
        <f>Dados!$E$3</f>
        <v>10000</v>
      </c>
      <c r="G40" s="10">
        <f>Dados!$E$3</f>
        <v>10000</v>
      </c>
      <c r="H40" s="10">
        <f>Dados!$E$3</f>
        <v>10000</v>
      </c>
      <c r="I40" s="10">
        <f>Dados!$E$3</f>
        <v>10000</v>
      </c>
      <c r="J40" s="10">
        <f>Dados!$E$3</f>
        <v>10000</v>
      </c>
      <c r="K40" s="10">
        <f>Dados!$E$3</f>
        <v>10000</v>
      </c>
      <c r="L40" s="10">
        <f>Dados!$E$3</f>
        <v>10000</v>
      </c>
      <c r="M40" s="10">
        <f>Dados!$E$3</f>
        <v>10000</v>
      </c>
      <c r="N40" s="10">
        <f t="shared" si="6"/>
        <v>120000</v>
      </c>
    </row>
    <row r="41" spans="1:14" ht="27" customHeight="1" x14ac:dyDescent="0.3">
      <c r="A41" s="4" t="s">
        <v>36</v>
      </c>
      <c r="B41" s="5">
        <f>ROUND(B9-B19,2)</f>
        <v>-518.58000000000004</v>
      </c>
      <c r="C41" s="5">
        <f>ROUND(C9-C19,2)</f>
        <v>2404.9699999999998</v>
      </c>
      <c r="D41" s="5">
        <f>ROUND(D9-D19,2)</f>
        <v>5360.53</v>
      </c>
      <c r="E41" s="5">
        <f>ROUND(E9-E19,2)</f>
        <v>8316.08</v>
      </c>
      <c r="F41" s="5">
        <f>ROUND(F9-F19,2)</f>
        <v>11271.64</v>
      </c>
      <c r="G41" s="5">
        <f>ROUND(G9-G19,2)</f>
        <v>14227.19</v>
      </c>
      <c r="H41" s="5">
        <f>ROUND(H9-H19,2)</f>
        <v>17182.740000000002</v>
      </c>
      <c r="I41" s="5">
        <f>ROUND(I9-I19,2)</f>
        <v>19716.080000000002</v>
      </c>
      <c r="J41" s="5">
        <f>ROUND(J9-J19,2)</f>
        <v>22249.41</v>
      </c>
      <c r="K41" s="5">
        <f>ROUND(K9-K19,2)</f>
        <v>24782.74</v>
      </c>
      <c r="L41" s="5">
        <f>ROUND(L9-L19,2)</f>
        <v>27316.07</v>
      </c>
      <c r="M41" s="5">
        <f>ROUND(M9-M19,2)</f>
        <v>29849.4</v>
      </c>
      <c r="N41" s="5">
        <f>ROUND(SUM(B41:M41),2)</f>
        <v>182158.27</v>
      </c>
    </row>
    <row r="42" spans="1:14" ht="14.4" x14ac:dyDescent="0.3">
      <c r="A42" s="6" t="s">
        <v>37</v>
      </c>
      <c r="B42" s="13">
        <f>B41/B8</f>
        <v>-6.7149290049505423E-3</v>
      </c>
      <c r="C42" s="13">
        <f>C41/C8</f>
        <v>2.9278050036604712E-2</v>
      </c>
      <c r="D42" s="13">
        <f>D41/D8</f>
        <v>6.1574996076130782E-2</v>
      </c>
      <c r="E42" s="13">
        <f>E41/E8</f>
        <v>9.0420251366750498E-2</v>
      </c>
      <c r="F42" s="13">
        <f>F41/F8</f>
        <v>0.11633927962465059</v>
      </c>
      <c r="G42" s="13">
        <f>G41/G8</f>
        <v>0.13975568278486813</v>
      </c>
      <c r="H42" s="13">
        <f>H41/H8</f>
        <v>0.16101531196980248</v>
      </c>
      <c r="I42" s="13">
        <f>I41/I8</f>
        <v>0.17773863144477522</v>
      </c>
      <c r="J42" s="13">
        <f>J41/J8</f>
        <v>0.19323820654625373</v>
      </c>
      <c r="K42" s="13">
        <f>K41/K8</f>
        <v>0.20764369399351032</v>
      </c>
      <c r="L42" s="13">
        <f>L41/L8</f>
        <v>0.22106698911481756</v>
      </c>
      <c r="M42" s="13">
        <f>M41/M8</f>
        <v>0.23360523181054407</v>
      </c>
      <c r="N42" s="13">
        <f>AVERAGE(B42:M42)</f>
        <v>0.13541344964697979</v>
      </c>
    </row>
    <row r="46" spans="1:14" ht="14.4" x14ac:dyDescent="0.3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</row>
    <row r="47" spans="1:14" ht="14.4" x14ac:dyDescent="0.3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2"/>
    </row>
    <row r="48" spans="1:14" ht="14.4" x14ac:dyDescent="0.3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  <row r="49" spans="1:14" ht="14.4" x14ac:dyDescent="0.3">
      <c r="A49" s="2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</row>
    <row r="50" spans="1:14" ht="14.4" x14ac:dyDescent="0.3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2"/>
    </row>
    <row r="51" spans="1:14" ht="14.4" x14ac:dyDescent="0.3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</row>
    <row r="52" spans="1:14" ht="14.4" x14ac:dyDescent="0.3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1:14" ht="14.4" x14ac:dyDescent="0.3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1:14" ht="14.4" x14ac:dyDescent="0.3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1:14" ht="14.4" x14ac:dyDescent="0.3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1:14" ht="14.4" x14ac:dyDescent="0.3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</row>
    <row r="57" spans="1:14" ht="14.4" x14ac:dyDescent="0.3">
      <c r="A57" s="2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2"/>
    </row>
    <row r="58" spans="1:14" ht="14.4" x14ac:dyDescent="0.3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ht="14.4" x14ac:dyDescent="0.3">
      <c r="A59" s="20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1:14" ht="14.4" x14ac:dyDescent="0.3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14.4" x14ac:dyDescent="0.3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</row>
    <row r="62" spans="1:14" ht="14.4" x14ac:dyDescent="0.3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ht="14.4" x14ac:dyDescent="0.3">
      <c r="A63" s="20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1:14" ht="14.4" x14ac:dyDescent="0.3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14.4" x14ac:dyDescent="0.3">
      <c r="A65" s="20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2"/>
    </row>
    <row r="66" spans="1:14" ht="14.4" x14ac:dyDescent="0.3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14.4" x14ac:dyDescent="0.3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14.4" x14ac:dyDescent="0.3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14.4" x14ac:dyDescent="0.3">
      <c r="A69" s="20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</row>
    <row r="70" spans="1:14" ht="14.4" x14ac:dyDescent="0.3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ht="14.4" x14ac:dyDescent="0.3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2"/>
    </row>
    <row r="72" spans="1:14" ht="14.4" x14ac:dyDescent="0.3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14.4" x14ac:dyDescent="0.3">
      <c r="A73" s="20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2"/>
    </row>
    <row r="74" spans="1:14" ht="14.4" x14ac:dyDescent="0.3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14.4" x14ac:dyDescent="0.3">
      <c r="A75" s="20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2"/>
    </row>
    <row r="76" spans="1:14" ht="14.4" x14ac:dyDescent="0.3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</row>
    <row r="77" spans="1:14" ht="14.4" x14ac:dyDescent="0.3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2"/>
    </row>
    <row r="78" spans="1:14" ht="14.4" x14ac:dyDescent="0.3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14.4" x14ac:dyDescent="0.3">
      <c r="A79" s="20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</row>
    <row r="80" spans="1:14" ht="14.4" x14ac:dyDescent="0.3">
      <c r="A80" s="20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14.4" x14ac:dyDescent="0.3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2"/>
    </row>
    <row r="82" spans="1:14" ht="14.4" x14ac:dyDescent="0.3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</row>
    <row r="83" spans="1:14" ht="14.4" x14ac:dyDescent="0.3">
      <c r="A83" s="20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2"/>
    </row>
    <row r="84" spans="1:14" ht="14.4" x14ac:dyDescent="0.3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14.4" x14ac:dyDescent="0.3">
      <c r="A85" s="20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2"/>
    </row>
    <row r="86" spans="1:14" ht="14.4" x14ac:dyDescent="0.3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14.4" x14ac:dyDescent="0.3">
      <c r="A87" s="20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2"/>
    </row>
    <row r="88" spans="1:14" ht="14.4" x14ac:dyDescent="0.3">
      <c r="A88" s="20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14.4" x14ac:dyDescent="0.3">
      <c r="A89" s="20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2"/>
    </row>
    <row r="90" spans="1:14" ht="14.4" x14ac:dyDescent="0.3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</row>
    <row r="91" spans="1:14" ht="14.4" x14ac:dyDescent="0.3">
      <c r="A91" s="20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2"/>
    </row>
    <row r="92" spans="1:14" ht="14.4" x14ac:dyDescent="0.3">
      <c r="A92" s="20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14.4" x14ac:dyDescent="0.3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</row>
    <row r="94" spans="1:14" ht="14.4" x14ac:dyDescent="0.3">
      <c r="A94" s="20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14.4" x14ac:dyDescent="0.3">
      <c r="A95" s="20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2"/>
    </row>
    <row r="96" spans="1:14" ht="14.4" x14ac:dyDescent="0.3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14.4" x14ac:dyDescent="0.3">
      <c r="A97" s="20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2"/>
    </row>
    <row r="98" spans="1:14" ht="14.4" x14ac:dyDescent="0.3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14.4" x14ac:dyDescent="0.3">
      <c r="A99" s="20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2"/>
    </row>
    <row r="100" spans="1:14" ht="14.4" x14ac:dyDescent="0.3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14.4" x14ac:dyDescent="0.3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2"/>
    </row>
    <row r="102" spans="1:14" ht="14.4" x14ac:dyDescent="0.3">
      <c r="A102" s="20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14.4" x14ac:dyDescent="0.3">
      <c r="A103" s="20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2"/>
    </row>
    <row r="104" spans="1:14" ht="14.4" x14ac:dyDescent="0.3">
      <c r="A104" s="20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14.4" x14ac:dyDescent="0.3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2"/>
    </row>
    <row r="106" spans="1:14" ht="14.4" x14ac:dyDescent="0.3">
      <c r="A106" s="20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</row>
    <row r="107" spans="1:14" ht="14.4" x14ac:dyDescent="0.3">
      <c r="A107" s="20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2"/>
    </row>
    <row r="108" spans="1:14" ht="14.4" x14ac:dyDescent="0.3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14.4" x14ac:dyDescent="0.3">
      <c r="A109" s="20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2"/>
    </row>
    <row r="110" spans="1:14" ht="14.4" x14ac:dyDescent="0.3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14.4" x14ac:dyDescent="0.3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2"/>
    </row>
    <row r="112" spans="1:14" ht="14.4" x14ac:dyDescent="0.3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2"/>
    </row>
    <row r="113" spans="1:14" ht="14.4" x14ac:dyDescent="0.3">
      <c r="A113" s="20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2"/>
    </row>
    <row r="114" spans="1:14" ht="14.4" x14ac:dyDescent="0.3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2"/>
    </row>
    <row r="115" spans="1:14" ht="14.4" x14ac:dyDescent="0.3">
      <c r="A115" s="20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2"/>
    </row>
    <row r="116" spans="1:14" ht="14.4" x14ac:dyDescent="0.3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2"/>
    </row>
    <row r="117" spans="1:14" ht="14.4" x14ac:dyDescent="0.3">
      <c r="A117" s="20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2"/>
    </row>
    <row r="118" spans="1:14" ht="14.4" x14ac:dyDescent="0.3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2"/>
    </row>
    <row r="119" spans="1:14" ht="14.4" x14ac:dyDescent="0.3">
      <c r="A119" s="20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2"/>
    </row>
    <row r="120" spans="1:14" ht="14.4" x14ac:dyDescent="0.3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2"/>
    </row>
    <row r="121" spans="1:14" ht="14.4" x14ac:dyDescent="0.3">
      <c r="A121" s="20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2"/>
    </row>
    <row r="122" spans="1:14" ht="14.4" x14ac:dyDescent="0.3">
      <c r="A122" s="20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2"/>
    </row>
    <row r="123" spans="1:14" ht="14.4" x14ac:dyDescent="0.3">
      <c r="A123" s="20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2"/>
    </row>
    <row r="124" spans="1:14" ht="14.4" x14ac:dyDescent="0.3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2"/>
    </row>
    <row r="125" spans="1:14" ht="14.4" x14ac:dyDescent="0.3">
      <c r="A125" s="20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2"/>
    </row>
    <row r="126" spans="1:14" ht="14.4" x14ac:dyDescent="0.3">
      <c r="A126" s="20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2"/>
    </row>
    <row r="127" spans="1:14" ht="14.4" x14ac:dyDescent="0.3">
      <c r="A127" s="20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2"/>
    </row>
    <row r="128" spans="1:14" ht="14.4" x14ac:dyDescent="0.3">
      <c r="A128" s="20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2"/>
    </row>
    <row r="129" spans="1:14" ht="14.4" x14ac:dyDescent="0.3">
      <c r="A129" s="20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2"/>
    </row>
    <row r="130" spans="1:14" ht="14.4" x14ac:dyDescent="0.3">
      <c r="A130" s="20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2"/>
    </row>
    <row r="131" spans="1:14" ht="14.4" x14ac:dyDescent="0.3">
      <c r="A131" s="20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2"/>
    </row>
    <row r="132" spans="1:14" ht="14.4" x14ac:dyDescent="0.3">
      <c r="A132" s="20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2"/>
    </row>
    <row r="133" spans="1:14" ht="14.4" x14ac:dyDescent="0.3">
      <c r="A133" s="20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2"/>
    </row>
    <row r="134" spans="1:14" ht="14.4" x14ac:dyDescent="0.3">
      <c r="A134" s="20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2"/>
    </row>
    <row r="135" spans="1:14" ht="14.4" x14ac:dyDescent="0.3">
      <c r="A135" s="20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2"/>
    </row>
    <row r="136" spans="1:14" ht="14.4" x14ac:dyDescent="0.3">
      <c r="A136" s="20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2"/>
    </row>
    <row r="137" spans="1:14" ht="14.4" x14ac:dyDescent="0.3">
      <c r="A137" s="20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2"/>
    </row>
    <row r="138" spans="1:14" ht="14.4" x14ac:dyDescent="0.3">
      <c r="A138" s="20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2"/>
    </row>
    <row r="139" spans="1:14" ht="14.4" x14ac:dyDescent="0.3">
      <c r="A139" s="20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2"/>
    </row>
    <row r="140" spans="1:14" ht="14.4" x14ac:dyDescent="0.3">
      <c r="A140" s="20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2"/>
    </row>
    <row r="141" spans="1:14" ht="14.4" x14ac:dyDescent="0.3">
      <c r="A141" s="20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2"/>
    </row>
    <row r="142" spans="1:14" ht="14.4" x14ac:dyDescent="0.3">
      <c r="A142" s="20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2"/>
    </row>
    <row r="143" spans="1:14" ht="14.4" x14ac:dyDescent="0.3">
      <c r="A143" s="20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2"/>
    </row>
    <row r="144" spans="1:14" ht="14.4" x14ac:dyDescent="0.3">
      <c r="A144" s="20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2"/>
    </row>
    <row r="145" spans="1:14" ht="14.4" x14ac:dyDescent="0.3">
      <c r="A145" s="20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2"/>
    </row>
    <row r="146" spans="1:14" ht="14.4" x14ac:dyDescent="0.3">
      <c r="A146" s="20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2"/>
    </row>
    <row r="147" spans="1:14" ht="14.4" x14ac:dyDescent="0.3">
      <c r="A147" s="20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2"/>
    </row>
    <row r="148" spans="1:14" ht="14.4" x14ac:dyDescent="0.3">
      <c r="A148" s="20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2"/>
    </row>
    <row r="149" spans="1:14" ht="14.4" x14ac:dyDescent="0.3">
      <c r="A149" s="20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2"/>
    </row>
    <row r="150" spans="1:14" ht="14.4" x14ac:dyDescent="0.3">
      <c r="A150" s="20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2"/>
    </row>
    <row r="151" spans="1:14" ht="14.4" x14ac:dyDescent="0.3">
      <c r="A151" s="20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2"/>
    </row>
    <row r="152" spans="1:14" ht="14.4" x14ac:dyDescent="0.3">
      <c r="A152" s="20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2"/>
    </row>
    <row r="153" spans="1:14" ht="14.4" x14ac:dyDescent="0.3">
      <c r="A153" s="20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2"/>
    </row>
    <row r="154" spans="1:14" ht="14.4" x14ac:dyDescent="0.3">
      <c r="A154" s="20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2"/>
    </row>
    <row r="155" spans="1:14" ht="14.4" x14ac:dyDescent="0.3">
      <c r="A155" s="20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2"/>
    </row>
    <row r="156" spans="1:14" ht="14.4" x14ac:dyDescent="0.3">
      <c r="A156" s="20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2"/>
    </row>
    <row r="157" spans="1:14" ht="14.4" x14ac:dyDescent="0.3">
      <c r="A157" s="20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2"/>
    </row>
    <row r="158" spans="1:14" ht="14.4" x14ac:dyDescent="0.3">
      <c r="A158" s="20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2"/>
    </row>
    <row r="159" spans="1:14" ht="14.4" x14ac:dyDescent="0.3">
      <c r="A159" s="20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2"/>
    </row>
    <row r="160" spans="1:14" ht="14.4" x14ac:dyDescent="0.3">
      <c r="A160" s="20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2"/>
    </row>
    <row r="161" spans="1:14" ht="14.4" x14ac:dyDescent="0.3">
      <c r="A161" s="20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2"/>
    </row>
    <row r="162" spans="1:14" ht="14.4" x14ac:dyDescent="0.3">
      <c r="A162" s="20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2"/>
    </row>
    <row r="163" spans="1:14" ht="14.4" x14ac:dyDescent="0.3">
      <c r="A163" s="20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2"/>
    </row>
    <row r="164" spans="1:14" ht="14.4" x14ac:dyDescent="0.3">
      <c r="A164" s="20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2"/>
    </row>
    <row r="165" spans="1:14" ht="14.4" x14ac:dyDescent="0.3">
      <c r="A165" s="20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2"/>
    </row>
    <row r="166" spans="1:14" ht="14.4" x14ac:dyDescent="0.3">
      <c r="A166" s="20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2"/>
    </row>
    <row r="167" spans="1:14" ht="14.4" x14ac:dyDescent="0.3">
      <c r="A167" s="20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2"/>
    </row>
    <row r="168" spans="1:14" ht="14.4" x14ac:dyDescent="0.3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</row>
    <row r="169" spans="1:14" ht="14.4" x14ac:dyDescent="0.3">
      <c r="A169" s="20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2"/>
    </row>
    <row r="170" spans="1:14" ht="14.4" x14ac:dyDescent="0.3">
      <c r="A170" s="20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14.4" x14ac:dyDescent="0.3">
      <c r="A171" s="20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2"/>
    </row>
    <row r="172" spans="1:14" ht="14.4" x14ac:dyDescent="0.3">
      <c r="A172" s="20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</row>
    <row r="173" spans="1:14" ht="14.4" x14ac:dyDescent="0.3">
      <c r="A173" s="20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2"/>
    </row>
    <row r="174" spans="1:14" ht="14.4" x14ac:dyDescent="0.3">
      <c r="A174" s="20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14.4" x14ac:dyDescent="0.3">
      <c r="A175" s="20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2"/>
    </row>
    <row r="176" spans="1:14" ht="14.4" x14ac:dyDescent="0.3">
      <c r="A176" s="20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14.4" x14ac:dyDescent="0.3">
      <c r="A177" s="20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2"/>
    </row>
    <row r="178" spans="1:14" ht="14.4" x14ac:dyDescent="0.3">
      <c r="A178" s="20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14.4" x14ac:dyDescent="0.3">
      <c r="A179" s="20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2"/>
    </row>
    <row r="180" spans="1:14" ht="14.4" x14ac:dyDescent="0.3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</row>
    <row r="181" spans="1:14" ht="14.4" x14ac:dyDescent="0.3">
      <c r="A181" s="20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2"/>
    </row>
    <row r="182" spans="1:14" ht="14.4" x14ac:dyDescent="0.3">
      <c r="A182" s="20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14.4" x14ac:dyDescent="0.3">
      <c r="A183" s="20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2"/>
    </row>
    <row r="184" spans="1:14" ht="14.4" x14ac:dyDescent="0.3">
      <c r="A184" s="20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14.4" x14ac:dyDescent="0.3">
      <c r="A185" s="20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2"/>
    </row>
    <row r="186" spans="1:14" ht="14.4" x14ac:dyDescent="0.3">
      <c r="A186" s="20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14.4" x14ac:dyDescent="0.3">
      <c r="A187" s="20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2"/>
    </row>
    <row r="188" spans="1:14" ht="14.4" x14ac:dyDescent="0.3">
      <c r="A188" s="20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14.4" x14ac:dyDescent="0.3">
      <c r="A189" s="20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2"/>
    </row>
    <row r="190" spans="1:14" ht="14.4" x14ac:dyDescent="0.3">
      <c r="A190" s="20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14.4" x14ac:dyDescent="0.3">
      <c r="A191" s="20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2"/>
    </row>
    <row r="192" spans="1:14" ht="14.4" x14ac:dyDescent="0.3">
      <c r="A192" s="20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14.4" x14ac:dyDescent="0.3">
      <c r="A193" s="20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2"/>
    </row>
    <row r="194" spans="1:14" ht="14.4" x14ac:dyDescent="0.3">
      <c r="A194" s="20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14.4" x14ac:dyDescent="0.3">
      <c r="A195" s="20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2"/>
    </row>
    <row r="196" spans="1:14" ht="14.4" x14ac:dyDescent="0.3">
      <c r="A196" s="20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14.4" x14ac:dyDescent="0.3">
      <c r="A197" s="20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2"/>
    </row>
    <row r="198" spans="1:14" ht="14.4" x14ac:dyDescent="0.3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14.4" x14ac:dyDescent="0.3">
      <c r="A199" s="20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2"/>
    </row>
    <row r="200" spans="1:14" ht="14.4" x14ac:dyDescent="0.3">
      <c r="A200" s="20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14.4" x14ac:dyDescent="0.3">
      <c r="A201" s="20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2"/>
    </row>
    <row r="202" spans="1:14" ht="14.4" x14ac:dyDescent="0.3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14.4" x14ac:dyDescent="0.3">
      <c r="A203" s="20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2"/>
    </row>
    <row r="204" spans="1:14" ht="14.4" x14ac:dyDescent="0.3">
      <c r="A204" s="20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14.4" x14ac:dyDescent="0.3">
      <c r="A205" s="20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2"/>
    </row>
    <row r="206" spans="1:14" ht="14.4" x14ac:dyDescent="0.3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14.4" x14ac:dyDescent="0.3">
      <c r="A207" s="20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2"/>
    </row>
    <row r="208" spans="1:14" ht="14.4" x14ac:dyDescent="0.3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14.4" x14ac:dyDescent="0.3">
      <c r="A209" s="20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2"/>
    </row>
    <row r="210" spans="1:14" ht="14.4" x14ac:dyDescent="0.3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14.4" x14ac:dyDescent="0.3">
      <c r="A211" s="20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2"/>
    </row>
    <row r="212" spans="1:14" ht="14.4" x14ac:dyDescent="0.3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14.4" x14ac:dyDescent="0.3">
      <c r="A213" s="20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2"/>
    </row>
    <row r="214" spans="1:14" ht="14.4" x14ac:dyDescent="0.3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14.4" x14ac:dyDescent="0.3">
      <c r="A215" s="20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2"/>
    </row>
    <row r="216" spans="1:14" ht="14.4" x14ac:dyDescent="0.3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14.4" x14ac:dyDescent="0.3">
      <c r="A217" s="20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2"/>
    </row>
    <row r="218" spans="1:14" ht="14.4" x14ac:dyDescent="0.3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2"/>
    </row>
    <row r="219" spans="1:14" ht="14.4" x14ac:dyDescent="0.3">
      <c r="A219" s="20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2"/>
    </row>
    <row r="220" spans="1:14" ht="14.4" x14ac:dyDescent="0.3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14.4" x14ac:dyDescent="0.3">
      <c r="A221" s="20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2"/>
    </row>
    <row r="222" spans="1:14" ht="14.4" x14ac:dyDescent="0.3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2"/>
    </row>
    <row r="223" spans="1:14" ht="14.4" x14ac:dyDescent="0.3">
      <c r="A223" s="20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2"/>
    </row>
    <row r="224" spans="1:14" ht="14.4" x14ac:dyDescent="0.3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2"/>
    </row>
    <row r="225" spans="1:14" ht="14.4" x14ac:dyDescent="0.3">
      <c r="A225" s="20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2"/>
    </row>
    <row r="226" spans="1:14" ht="14.4" x14ac:dyDescent="0.3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2"/>
    </row>
    <row r="227" spans="1:14" ht="14.4" x14ac:dyDescent="0.3">
      <c r="A227" s="20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2"/>
    </row>
    <row r="228" spans="1:14" ht="14.4" x14ac:dyDescent="0.3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2"/>
    </row>
    <row r="229" spans="1:14" ht="14.4" x14ac:dyDescent="0.3">
      <c r="A229" s="20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2"/>
    </row>
    <row r="230" spans="1:14" ht="14.4" x14ac:dyDescent="0.3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2"/>
    </row>
    <row r="231" spans="1:14" ht="14.4" x14ac:dyDescent="0.3">
      <c r="A231" s="20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2"/>
    </row>
    <row r="232" spans="1:14" ht="14.4" x14ac:dyDescent="0.3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2"/>
    </row>
    <row r="233" spans="1:14" ht="14.4" x14ac:dyDescent="0.3">
      <c r="A233" s="20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2"/>
    </row>
    <row r="234" spans="1:14" ht="14.4" x14ac:dyDescent="0.3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2"/>
    </row>
    <row r="235" spans="1:14" ht="14.4" x14ac:dyDescent="0.3">
      <c r="A235" s="20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2"/>
    </row>
    <row r="236" spans="1:14" ht="14.4" x14ac:dyDescent="0.3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2"/>
    </row>
    <row r="237" spans="1:14" ht="14.4" x14ac:dyDescent="0.3">
      <c r="A237" s="20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2"/>
    </row>
    <row r="238" spans="1:14" ht="14.4" x14ac:dyDescent="0.3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2"/>
    </row>
    <row r="239" spans="1:14" ht="14.4" x14ac:dyDescent="0.3">
      <c r="A239" s="20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2"/>
    </row>
    <row r="240" spans="1:14" ht="14.4" x14ac:dyDescent="0.3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2"/>
    </row>
    <row r="241" spans="1:14" ht="14.4" x14ac:dyDescent="0.3">
      <c r="A241" s="20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2"/>
    </row>
    <row r="242" spans="1:14" ht="14.4" x14ac:dyDescent="0.3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2"/>
    </row>
    <row r="243" spans="1:14" ht="14.4" x14ac:dyDescent="0.3">
      <c r="A243" s="20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2"/>
    </row>
    <row r="244" spans="1:14" ht="14.4" x14ac:dyDescent="0.3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2"/>
    </row>
    <row r="245" spans="1:14" ht="14.4" x14ac:dyDescent="0.3">
      <c r="A245" s="20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2"/>
    </row>
    <row r="246" spans="1:14" ht="14.4" x14ac:dyDescent="0.3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2"/>
    </row>
    <row r="247" spans="1:14" ht="14.4" x14ac:dyDescent="0.3">
      <c r="A247" s="20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2"/>
    </row>
    <row r="248" spans="1:14" ht="14.4" x14ac:dyDescent="0.3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2"/>
    </row>
    <row r="249" spans="1:14" ht="14.4" x14ac:dyDescent="0.3">
      <c r="A249" s="20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2"/>
    </row>
    <row r="250" spans="1:14" ht="14.4" x14ac:dyDescent="0.3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2"/>
    </row>
    <row r="251" spans="1:14" ht="14.4" x14ac:dyDescent="0.3">
      <c r="A251" s="20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2"/>
    </row>
    <row r="252" spans="1:14" ht="14.4" x14ac:dyDescent="0.3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2"/>
    </row>
    <row r="253" spans="1:14" ht="14.4" x14ac:dyDescent="0.3">
      <c r="A253" s="20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2"/>
    </row>
    <row r="254" spans="1:14" ht="14.4" x14ac:dyDescent="0.3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2"/>
    </row>
    <row r="255" spans="1:14" ht="14.4" x14ac:dyDescent="0.3">
      <c r="A255" s="20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2"/>
    </row>
    <row r="256" spans="1:14" ht="14.4" x14ac:dyDescent="0.3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2"/>
    </row>
    <row r="257" spans="1:14" ht="14.4" x14ac:dyDescent="0.3">
      <c r="A257" s="20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2"/>
    </row>
    <row r="258" spans="1:14" ht="14.4" x14ac:dyDescent="0.3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2"/>
    </row>
    <row r="259" spans="1:14" ht="14.4" x14ac:dyDescent="0.3">
      <c r="A259" s="20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2"/>
    </row>
    <row r="260" spans="1:14" ht="14.4" x14ac:dyDescent="0.3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2"/>
    </row>
    <row r="261" spans="1:14" ht="14.4" x14ac:dyDescent="0.3">
      <c r="A261" s="20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2"/>
    </row>
    <row r="262" spans="1:14" ht="14.4" x14ac:dyDescent="0.3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2"/>
    </row>
    <row r="263" spans="1:14" ht="14.4" x14ac:dyDescent="0.3">
      <c r="A263" s="20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2"/>
    </row>
    <row r="264" spans="1:14" ht="14.4" x14ac:dyDescent="0.3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2"/>
    </row>
    <row r="265" spans="1:14" ht="14.4" x14ac:dyDescent="0.3">
      <c r="A265" s="20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2"/>
    </row>
    <row r="266" spans="1:14" ht="14.4" x14ac:dyDescent="0.3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2"/>
    </row>
    <row r="267" spans="1:14" ht="14.4" x14ac:dyDescent="0.3">
      <c r="A267" s="20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2"/>
    </row>
    <row r="268" spans="1:14" ht="14.4" x14ac:dyDescent="0.3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2"/>
    </row>
    <row r="269" spans="1:14" ht="14.4" x14ac:dyDescent="0.3">
      <c r="A269" s="20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2"/>
    </row>
    <row r="270" spans="1:14" ht="14.4" x14ac:dyDescent="0.3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2"/>
    </row>
    <row r="271" spans="1:14" ht="14.4" x14ac:dyDescent="0.3">
      <c r="A271" s="20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2"/>
    </row>
    <row r="272" spans="1:14" ht="14.4" x14ac:dyDescent="0.3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2"/>
    </row>
    <row r="273" spans="1:14" ht="14.4" x14ac:dyDescent="0.3">
      <c r="A273" s="20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2"/>
    </row>
    <row r="274" spans="1:14" ht="14.4" x14ac:dyDescent="0.3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2"/>
    </row>
    <row r="275" spans="1:14" ht="14.4" x14ac:dyDescent="0.3">
      <c r="A275" s="20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2"/>
    </row>
    <row r="276" spans="1:14" ht="14.4" x14ac:dyDescent="0.3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2"/>
    </row>
    <row r="277" spans="1:14" ht="14.4" x14ac:dyDescent="0.3">
      <c r="A277" s="20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2"/>
    </row>
    <row r="278" spans="1:14" ht="14.4" x14ac:dyDescent="0.3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 spans="1:14" ht="14.4" x14ac:dyDescent="0.3">
      <c r="A279" s="20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2"/>
    </row>
    <row r="280" spans="1:14" ht="14.4" x14ac:dyDescent="0.3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14.4" x14ac:dyDescent="0.3">
      <c r="A281" s="20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2"/>
    </row>
    <row r="282" spans="1:14" ht="14.4" x14ac:dyDescent="0.3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2"/>
    </row>
    <row r="283" spans="1:14" ht="14.4" x14ac:dyDescent="0.3">
      <c r="A283" s="20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2"/>
    </row>
    <row r="284" spans="1:14" ht="14.4" x14ac:dyDescent="0.3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14.4" x14ac:dyDescent="0.3">
      <c r="A285" s="20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2"/>
    </row>
    <row r="286" spans="1:14" ht="14.4" x14ac:dyDescent="0.3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14.4" x14ac:dyDescent="0.3">
      <c r="A287" s="20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2"/>
    </row>
    <row r="288" spans="1:14" ht="14.4" x14ac:dyDescent="0.3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14.4" x14ac:dyDescent="0.3">
      <c r="A289" s="20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2"/>
    </row>
    <row r="290" spans="1:14" ht="14.4" x14ac:dyDescent="0.3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14.4" x14ac:dyDescent="0.3">
      <c r="A291" s="20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2"/>
    </row>
    <row r="292" spans="1:14" ht="14.4" x14ac:dyDescent="0.3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14.4" x14ac:dyDescent="0.3">
      <c r="A293" s="20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2"/>
    </row>
    <row r="294" spans="1:14" ht="14.4" x14ac:dyDescent="0.3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14.4" x14ac:dyDescent="0.3">
      <c r="A295" s="20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2"/>
    </row>
    <row r="296" spans="1:14" ht="14.4" x14ac:dyDescent="0.3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2"/>
    </row>
    <row r="297" spans="1:14" ht="14.4" x14ac:dyDescent="0.3">
      <c r="A297" s="20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2"/>
    </row>
    <row r="298" spans="1:14" ht="14.4" x14ac:dyDescent="0.3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14.4" x14ac:dyDescent="0.3">
      <c r="A299" s="20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2"/>
    </row>
    <row r="300" spans="1:14" ht="14.4" x14ac:dyDescent="0.3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14.4" x14ac:dyDescent="0.3">
      <c r="A301" s="20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2"/>
    </row>
    <row r="302" spans="1:14" ht="14.4" x14ac:dyDescent="0.3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2"/>
    </row>
    <row r="303" spans="1:14" ht="14.4" x14ac:dyDescent="0.3">
      <c r="A303" s="20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2"/>
    </row>
    <row r="304" spans="1:14" ht="14.4" x14ac:dyDescent="0.3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14.4" x14ac:dyDescent="0.3">
      <c r="A305" s="20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2"/>
    </row>
    <row r="306" spans="1:14" ht="14.4" x14ac:dyDescent="0.3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14.4" x14ac:dyDescent="0.3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2"/>
    </row>
    <row r="308" spans="1:14" ht="14.4" x14ac:dyDescent="0.3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14.4" x14ac:dyDescent="0.3">
      <c r="A309" s="20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2"/>
    </row>
    <row r="310" spans="1:14" ht="14.4" x14ac:dyDescent="0.3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2"/>
    </row>
    <row r="311" spans="1:14" ht="14.4" x14ac:dyDescent="0.3">
      <c r="A311" s="20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2"/>
    </row>
    <row r="312" spans="1:14" ht="14.4" x14ac:dyDescent="0.3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14.4" x14ac:dyDescent="0.3">
      <c r="A313" s="20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2"/>
    </row>
    <row r="314" spans="1:14" ht="14.4" x14ac:dyDescent="0.3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14.4" x14ac:dyDescent="0.3">
      <c r="A315" s="20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2"/>
    </row>
    <row r="316" spans="1:14" ht="14.4" x14ac:dyDescent="0.3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2"/>
    </row>
    <row r="317" spans="1:14" ht="14.4" x14ac:dyDescent="0.3">
      <c r="A317" s="20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2"/>
    </row>
    <row r="318" spans="1:14" ht="14.4" x14ac:dyDescent="0.3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14.4" x14ac:dyDescent="0.3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2"/>
    </row>
    <row r="320" spans="1:14" ht="14.4" x14ac:dyDescent="0.3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14.4" x14ac:dyDescent="0.3">
      <c r="A321" s="20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2"/>
    </row>
    <row r="322" spans="1:14" ht="14.4" x14ac:dyDescent="0.3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14.4" x14ac:dyDescent="0.3">
      <c r="A323" s="20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2"/>
    </row>
    <row r="324" spans="1:14" ht="14.4" x14ac:dyDescent="0.3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14.4" x14ac:dyDescent="0.3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2"/>
    </row>
    <row r="326" spans="1:14" ht="14.4" x14ac:dyDescent="0.3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2"/>
    </row>
    <row r="327" spans="1:14" ht="14.4" x14ac:dyDescent="0.3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2"/>
    </row>
    <row r="328" spans="1:14" ht="14.4" x14ac:dyDescent="0.3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2"/>
    </row>
    <row r="329" spans="1:14" ht="14.4" x14ac:dyDescent="0.3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2"/>
    </row>
    <row r="330" spans="1:14" ht="14.4" x14ac:dyDescent="0.3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14.4" x14ac:dyDescent="0.3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2"/>
    </row>
    <row r="332" spans="1:14" ht="14.4" x14ac:dyDescent="0.3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2"/>
    </row>
    <row r="333" spans="1:14" ht="14.4" x14ac:dyDescent="0.3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2"/>
    </row>
    <row r="334" spans="1:14" ht="14.4" x14ac:dyDescent="0.3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2"/>
    </row>
    <row r="335" spans="1:14" ht="14.4" x14ac:dyDescent="0.3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2"/>
    </row>
    <row r="336" spans="1:14" ht="14.4" x14ac:dyDescent="0.3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2"/>
    </row>
    <row r="337" spans="1:14" ht="14.4" x14ac:dyDescent="0.3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2"/>
    </row>
    <row r="338" spans="1:14" ht="14.4" x14ac:dyDescent="0.3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2"/>
    </row>
    <row r="339" spans="1:14" ht="14.4" x14ac:dyDescent="0.3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2"/>
    </row>
    <row r="340" spans="1:14" ht="14.4" x14ac:dyDescent="0.3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2"/>
    </row>
    <row r="341" spans="1:14" ht="14.4" x14ac:dyDescent="0.3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2"/>
    </row>
    <row r="342" spans="1:14" ht="14.4" x14ac:dyDescent="0.3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2"/>
    </row>
    <row r="343" spans="1:14" ht="14.4" x14ac:dyDescent="0.3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2"/>
    </row>
    <row r="344" spans="1:14" ht="14.4" x14ac:dyDescent="0.3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2"/>
    </row>
    <row r="345" spans="1:14" ht="14.4" x14ac:dyDescent="0.3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2"/>
    </row>
    <row r="346" spans="1:14" ht="14.4" x14ac:dyDescent="0.3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2"/>
    </row>
    <row r="347" spans="1:14" ht="14.4" x14ac:dyDescent="0.3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2"/>
    </row>
    <row r="348" spans="1:14" ht="14.4" x14ac:dyDescent="0.3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2"/>
    </row>
    <row r="349" spans="1:14" ht="14.4" x14ac:dyDescent="0.3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2"/>
    </row>
    <row r="350" spans="1:14" ht="14.4" x14ac:dyDescent="0.3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2"/>
    </row>
    <row r="351" spans="1:14" ht="14.4" x14ac:dyDescent="0.3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2"/>
    </row>
    <row r="352" spans="1:14" ht="14.4" x14ac:dyDescent="0.3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2"/>
    </row>
    <row r="353" spans="1:14" ht="14.4" x14ac:dyDescent="0.3">
      <c r="A353" s="20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2"/>
    </row>
    <row r="354" spans="1:14" ht="14.4" x14ac:dyDescent="0.3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2"/>
    </row>
    <row r="355" spans="1:14" ht="14.4" x14ac:dyDescent="0.3">
      <c r="A355" s="20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2"/>
    </row>
    <row r="356" spans="1:14" ht="14.4" x14ac:dyDescent="0.3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2"/>
    </row>
    <row r="357" spans="1:14" ht="14.4" x14ac:dyDescent="0.3">
      <c r="A357" s="20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2"/>
    </row>
    <row r="358" spans="1:14" ht="14.4" x14ac:dyDescent="0.3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2"/>
    </row>
    <row r="359" spans="1:14" ht="14.4" x14ac:dyDescent="0.3">
      <c r="A359" s="20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2"/>
    </row>
    <row r="360" spans="1:14" ht="14.4" x14ac:dyDescent="0.3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2"/>
    </row>
    <row r="361" spans="1:14" ht="14.4" x14ac:dyDescent="0.3">
      <c r="A361" s="20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2"/>
    </row>
    <row r="362" spans="1:14" ht="14.4" x14ac:dyDescent="0.3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2"/>
    </row>
    <row r="363" spans="1:14" ht="14.4" x14ac:dyDescent="0.3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2"/>
    </row>
    <row r="364" spans="1:14" ht="14.4" x14ac:dyDescent="0.3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2"/>
    </row>
    <row r="365" spans="1:14" ht="14.4" x14ac:dyDescent="0.3">
      <c r="A365" s="20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2"/>
    </row>
    <row r="366" spans="1:14" ht="14.4" x14ac:dyDescent="0.3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2"/>
    </row>
    <row r="367" spans="1:14" ht="14.4" x14ac:dyDescent="0.3">
      <c r="A367" s="20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2"/>
    </row>
    <row r="368" spans="1:14" ht="14.4" x14ac:dyDescent="0.3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2"/>
    </row>
    <row r="369" spans="1:14" ht="14.4" x14ac:dyDescent="0.3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2"/>
    </row>
    <row r="370" spans="1:14" ht="14.4" x14ac:dyDescent="0.3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2"/>
    </row>
    <row r="371" spans="1:14" ht="14.4" x14ac:dyDescent="0.3">
      <c r="A371" s="20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2"/>
    </row>
    <row r="372" spans="1:14" ht="14.4" x14ac:dyDescent="0.3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2"/>
    </row>
    <row r="373" spans="1:14" ht="14.4" x14ac:dyDescent="0.3">
      <c r="A373" s="20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2"/>
    </row>
    <row r="374" spans="1:14" ht="14.4" x14ac:dyDescent="0.3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2"/>
    </row>
    <row r="375" spans="1:14" ht="14.4" x14ac:dyDescent="0.3">
      <c r="A375" s="20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2"/>
    </row>
    <row r="376" spans="1:14" ht="14.4" x14ac:dyDescent="0.3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2"/>
    </row>
    <row r="377" spans="1:14" ht="14.4" x14ac:dyDescent="0.3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2"/>
    </row>
    <row r="378" spans="1:14" ht="14.4" x14ac:dyDescent="0.3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2"/>
    </row>
    <row r="379" spans="1:14" ht="14.4" x14ac:dyDescent="0.3">
      <c r="A379" s="20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2"/>
    </row>
    <row r="380" spans="1:14" ht="14.4" x14ac:dyDescent="0.3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2"/>
    </row>
    <row r="381" spans="1:14" ht="14.4" x14ac:dyDescent="0.3">
      <c r="A381" s="20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2"/>
    </row>
    <row r="382" spans="1:14" ht="14.4" x14ac:dyDescent="0.3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2"/>
    </row>
    <row r="383" spans="1:14" ht="14.4" x14ac:dyDescent="0.3">
      <c r="A383" s="20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2"/>
    </row>
    <row r="384" spans="1:14" ht="14.4" x14ac:dyDescent="0.3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2"/>
    </row>
    <row r="385" spans="1:14" ht="14.4" x14ac:dyDescent="0.3">
      <c r="A385" s="20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2"/>
    </row>
    <row r="386" spans="1:14" ht="14.4" x14ac:dyDescent="0.3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2"/>
    </row>
    <row r="387" spans="1:14" ht="14.4" x14ac:dyDescent="0.3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2"/>
    </row>
    <row r="388" spans="1:14" ht="14.4" x14ac:dyDescent="0.3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2"/>
    </row>
    <row r="389" spans="1:14" ht="14.4" x14ac:dyDescent="0.3">
      <c r="A389" s="20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2"/>
    </row>
    <row r="390" spans="1:14" ht="14.4" x14ac:dyDescent="0.3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14.4" x14ac:dyDescent="0.3">
      <c r="A391" s="20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2"/>
    </row>
    <row r="392" spans="1:14" ht="14.4" x14ac:dyDescent="0.3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2"/>
    </row>
    <row r="393" spans="1:14" ht="14.4" x14ac:dyDescent="0.3">
      <c r="A393" s="20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2"/>
    </row>
    <row r="394" spans="1:14" ht="14.4" x14ac:dyDescent="0.3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14.4" x14ac:dyDescent="0.3">
      <c r="A395" s="20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2"/>
    </row>
    <row r="396" spans="1:14" ht="14.4" x14ac:dyDescent="0.3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14.4" x14ac:dyDescent="0.3">
      <c r="A397" s="20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2"/>
    </row>
    <row r="398" spans="1:14" ht="14.4" x14ac:dyDescent="0.3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14.4" x14ac:dyDescent="0.3">
      <c r="A399" s="20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2"/>
    </row>
    <row r="400" spans="1:14" ht="14.4" x14ac:dyDescent="0.3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14.4" x14ac:dyDescent="0.3">
      <c r="A401" s="20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2"/>
    </row>
    <row r="402" spans="1:14" ht="14.4" x14ac:dyDescent="0.3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14.4" x14ac:dyDescent="0.3">
      <c r="A403" s="20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2"/>
    </row>
    <row r="404" spans="1:14" ht="14.4" x14ac:dyDescent="0.3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14.4" x14ac:dyDescent="0.3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2"/>
    </row>
    <row r="406" spans="1:14" ht="14.4" x14ac:dyDescent="0.3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14.4" x14ac:dyDescent="0.3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2"/>
    </row>
    <row r="408" spans="1:14" ht="14.4" x14ac:dyDescent="0.3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14.4" x14ac:dyDescent="0.3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2"/>
    </row>
    <row r="410" spans="1:14" ht="14.4" x14ac:dyDescent="0.3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14.4" x14ac:dyDescent="0.3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2"/>
    </row>
    <row r="412" spans="1:14" ht="14.4" x14ac:dyDescent="0.3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14.4" x14ac:dyDescent="0.3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2"/>
    </row>
    <row r="414" spans="1:14" ht="14.4" x14ac:dyDescent="0.3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14.4" x14ac:dyDescent="0.3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2"/>
    </row>
    <row r="416" spans="1:14" ht="14.4" x14ac:dyDescent="0.3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14.4" x14ac:dyDescent="0.3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2"/>
    </row>
    <row r="418" spans="1:14" ht="14.4" x14ac:dyDescent="0.3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14.4" x14ac:dyDescent="0.3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2"/>
    </row>
    <row r="420" spans="1:14" ht="14.4" x14ac:dyDescent="0.3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14.4" x14ac:dyDescent="0.3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2"/>
    </row>
    <row r="422" spans="1:14" ht="14.4" x14ac:dyDescent="0.3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14.4" x14ac:dyDescent="0.3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2"/>
    </row>
    <row r="424" spans="1:14" ht="14.4" x14ac:dyDescent="0.3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14.4" x14ac:dyDescent="0.3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2"/>
    </row>
    <row r="426" spans="1:14" ht="14.4" x14ac:dyDescent="0.3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14.4" x14ac:dyDescent="0.3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2"/>
    </row>
    <row r="428" spans="1:14" ht="14.4" x14ac:dyDescent="0.3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14.4" x14ac:dyDescent="0.3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2"/>
    </row>
    <row r="430" spans="1:14" ht="14.4" x14ac:dyDescent="0.3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14.4" x14ac:dyDescent="0.3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2"/>
    </row>
    <row r="432" spans="1:14" ht="14.4" x14ac:dyDescent="0.3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14.4" x14ac:dyDescent="0.3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2"/>
    </row>
    <row r="434" spans="1:14" ht="14.4" x14ac:dyDescent="0.3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14.4" x14ac:dyDescent="0.3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2"/>
    </row>
    <row r="436" spans="1:14" ht="14.4" x14ac:dyDescent="0.3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2"/>
    </row>
    <row r="437" spans="1:14" ht="14.4" x14ac:dyDescent="0.3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2"/>
    </row>
    <row r="438" spans="1:14" ht="14.4" x14ac:dyDescent="0.3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14.4" x14ac:dyDescent="0.3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2"/>
    </row>
    <row r="440" spans="1:14" ht="14.4" x14ac:dyDescent="0.3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14.4" x14ac:dyDescent="0.3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2"/>
    </row>
    <row r="442" spans="1:14" ht="14.4" x14ac:dyDescent="0.3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2"/>
    </row>
    <row r="443" spans="1:14" ht="14.4" x14ac:dyDescent="0.3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2"/>
    </row>
    <row r="444" spans="1:14" ht="14.4" x14ac:dyDescent="0.3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2"/>
    </row>
    <row r="445" spans="1:14" ht="14.4" x14ac:dyDescent="0.3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2"/>
    </row>
    <row r="446" spans="1:14" ht="14.4" x14ac:dyDescent="0.3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2"/>
    </row>
    <row r="447" spans="1:14" ht="14.4" x14ac:dyDescent="0.3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2"/>
    </row>
    <row r="448" spans="1:14" ht="14.4" x14ac:dyDescent="0.3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2"/>
    </row>
    <row r="449" spans="1:14" ht="14.4" x14ac:dyDescent="0.3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2"/>
    </row>
    <row r="450" spans="1:14" ht="14.4" x14ac:dyDescent="0.3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2"/>
    </row>
    <row r="451" spans="1:14" ht="14.4" x14ac:dyDescent="0.3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2"/>
    </row>
    <row r="452" spans="1:14" ht="14.4" x14ac:dyDescent="0.3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2"/>
    </row>
    <row r="453" spans="1:14" ht="14.4" x14ac:dyDescent="0.3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2"/>
    </row>
    <row r="454" spans="1:14" ht="14.4" x14ac:dyDescent="0.3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2"/>
    </row>
    <row r="455" spans="1:14" ht="14.4" x14ac:dyDescent="0.3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2"/>
    </row>
    <row r="456" spans="1:14" ht="14.4" x14ac:dyDescent="0.3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2"/>
    </row>
    <row r="457" spans="1:14" ht="14.4" x14ac:dyDescent="0.3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2"/>
    </row>
    <row r="458" spans="1:14" ht="14.4" x14ac:dyDescent="0.3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2"/>
    </row>
    <row r="459" spans="1:14" ht="14.4" x14ac:dyDescent="0.3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2"/>
    </row>
    <row r="460" spans="1:14" ht="14.4" x14ac:dyDescent="0.3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2"/>
    </row>
    <row r="461" spans="1:14" ht="14.4" x14ac:dyDescent="0.3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2"/>
    </row>
    <row r="462" spans="1:14" ht="14.4" x14ac:dyDescent="0.3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2"/>
    </row>
    <row r="463" spans="1:14" ht="14.4" x14ac:dyDescent="0.3">
      <c r="A463" s="20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2"/>
    </row>
    <row r="464" spans="1:14" ht="14.4" x14ac:dyDescent="0.3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2"/>
    </row>
    <row r="465" spans="1:14" ht="14.4" x14ac:dyDescent="0.3">
      <c r="A465" s="20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2"/>
    </row>
    <row r="466" spans="1:14" ht="14.4" x14ac:dyDescent="0.3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2"/>
    </row>
    <row r="467" spans="1:14" ht="14.4" x14ac:dyDescent="0.3">
      <c r="A467" s="20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2"/>
    </row>
    <row r="468" spans="1:14" ht="14.4" x14ac:dyDescent="0.3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2"/>
    </row>
    <row r="469" spans="1:14" ht="14.4" x14ac:dyDescent="0.3">
      <c r="A469" s="20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2"/>
    </row>
    <row r="470" spans="1:14" ht="14.4" x14ac:dyDescent="0.3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2"/>
    </row>
    <row r="471" spans="1:14" ht="14.4" x14ac:dyDescent="0.3">
      <c r="A471" s="20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2"/>
    </row>
    <row r="472" spans="1:14" ht="14.4" x14ac:dyDescent="0.3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2"/>
    </row>
    <row r="473" spans="1:14" ht="14.4" x14ac:dyDescent="0.3">
      <c r="A473" s="20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2"/>
    </row>
    <row r="474" spans="1:14" ht="14.4" x14ac:dyDescent="0.3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2"/>
    </row>
    <row r="475" spans="1:14" ht="14.4" x14ac:dyDescent="0.3">
      <c r="A475" s="20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2"/>
    </row>
    <row r="476" spans="1:14" ht="14.4" x14ac:dyDescent="0.3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2"/>
    </row>
    <row r="477" spans="1:14" ht="14.4" x14ac:dyDescent="0.3">
      <c r="A477" s="20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2"/>
    </row>
    <row r="478" spans="1:14" ht="14.4" x14ac:dyDescent="0.3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2"/>
    </row>
    <row r="479" spans="1:14" ht="14.4" x14ac:dyDescent="0.3">
      <c r="A479" s="20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2"/>
    </row>
    <row r="480" spans="1:14" ht="14.4" x14ac:dyDescent="0.3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2"/>
    </row>
    <row r="481" spans="1:14" ht="14.4" x14ac:dyDescent="0.3">
      <c r="A481" s="20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2"/>
    </row>
    <row r="482" spans="1:14" ht="14.4" x14ac:dyDescent="0.3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2"/>
    </row>
    <row r="483" spans="1:14" ht="14.4" x14ac:dyDescent="0.3">
      <c r="A483" s="20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2"/>
    </row>
    <row r="484" spans="1:14" ht="14.4" x14ac:dyDescent="0.3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2"/>
    </row>
    <row r="485" spans="1:14" ht="14.4" x14ac:dyDescent="0.3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2"/>
    </row>
    <row r="486" spans="1:14" ht="14.4" x14ac:dyDescent="0.3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2"/>
    </row>
    <row r="487" spans="1:14" ht="14.4" x14ac:dyDescent="0.3">
      <c r="A487" s="20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2"/>
    </row>
    <row r="488" spans="1:14" ht="14.4" x14ac:dyDescent="0.3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2"/>
    </row>
    <row r="489" spans="1:14" ht="14.4" x14ac:dyDescent="0.3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2"/>
    </row>
    <row r="490" spans="1:14" ht="14.4" x14ac:dyDescent="0.3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2"/>
    </row>
    <row r="491" spans="1:14" ht="14.4" x14ac:dyDescent="0.3">
      <c r="A491" s="20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2"/>
    </row>
    <row r="492" spans="1:14" ht="14.4" x14ac:dyDescent="0.3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2"/>
    </row>
    <row r="493" spans="1:14" ht="14.4" x14ac:dyDescent="0.3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2"/>
    </row>
    <row r="494" spans="1:14" ht="14.4" x14ac:dyDescent="0.3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2"/>
    </row>
    <row r="495" spans="1:14" ht="14.4" x14ac:dyDescent="0.3">
      <c r="A495" s="20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2"/>
    </row>
    <row r="496" spans="1:14" ht="14.4" x14ac:dyDescent="0.3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2"/>
    </row>
    <row r="497" spans="1:14" ht="14.4" x14ac:dyDescent="0.3">
      <c r="A497" s="20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2"/>
    </row>
    <row r="498" spans="1:14" ht="14.4" x14ac:dyDescent="0.3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14.4" x14ac:dyDescent="0.3">
      <c r="A499" s="20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2"/>
    </row>
    <row r="500" spans="1:14" ht="14.4" x14ac:dyDescent="0.3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14.4" x14ac:dyDescent="0.3">
      <c r="A501" s="20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2"/>
    </row>
    <row r="502" spans="1:14" ht="14.4" x14ac:dyDescent="0.3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14.4" x14ac:dyDescent="0.3">
      <c r="A503" s="20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2"/>
    </row>
    <row r="504" spans="1:14" ht="14.4" x14ac:dyDescent="0.3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14.4" x14ac:dyDescent="0.3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2"/>
    </row>
    <row r="506" spans="1:14" ht="14.4" x14ac:dyDescent="0.3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14.4" x14ac:dyDescent="0.3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2"/>
    </row>
    <row r="508" spans="1:14" ht="14.4" x14ac:dyDescent="0.3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14.4" x14ac:dyDescent="0.3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2"/>
    </row>
    <row r="510" spans="1:14" ht="14.4" x14ac:dyDescent="0.3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14.4" x14ac:dyDescent="0.3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2"/>
    </row>
    <row r="512" spans="1:14" ht="14.4" x14ac:dyDescent="0.3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14.4" x14ac:dyDescent="0.3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2"/>
    </row>
    <row r="514" spans="1:14" ht="14.4" x14ac:dyDescent="0.3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14.4" x14ac:dyDescent="0.3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2"/>
    </row>
    <row r="516" spans="1:14" ht="14.4" x14ac:dyDescent="0.3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14.4" x14ac:dyDescent="0.3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2"/>
    </row>
    <row r="518" spans="1:14" ht="14.4" x14ac:dyDescent="0.3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14.4" x14ac:dyDescent="0.3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2"/>
    </row>
    <row r="520" spans="1:14" ht="14.4" x14ac:dyDescent="0.3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14.4" x14ac:dyDescent="0.3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2"/>
    </row>
    <row r="522" spans="1:14" ht="14.4" x14ac:dyDescent="0.3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14.4" x14ac:dyDescent="0.3">
      <c r="A523" s="20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2"/>
    </row>
    <row r="524" spans="1:14" ht="14.4" x14ac:dyDescent="0.3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14.4" x14ac:dyDescent="0.3">
      <c r="A525" s="20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2"/>
    </row>
    <row r="526" spans="1:14" ht="14.4" x14ac:dyDescent="0.3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14.4" x14ac:dyDescent="0.3">
      <c r="A527" s="20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2"/>
    </row>
    <row r="528" spans="1:14" ht="14.4" x14ac:dyDescent="0.3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14.4" x14ac:dyDescent="0.3">
      <c r="A529" s="20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2"/>
    </row>
    <row r="530" spans="1:14" ht="14.4" x14ac:dyDescent="0.3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14.4" x14ac:dyDescent="0.3">
      <c r="A531" s="20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2"/>
    </row>
    <row r="532" spans="1:14" ht="14.4" x14ac:dyDescent="0.3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14.4" x14ac:dyDescent="0.3">
      <c r="A533" s="20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2"/>
    </row>
    <row r="534" spans="1:14" ht="14.4" x14ac:dyDescent="0.3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14.4" x14ac:dyDescent="0.3">
      <c r="A535" s="20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2"/>
    </row>
    <row r="536" spans="1:14" ht="14.4" x14ac:dyDescent="0.3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14.4" x14ac:dyDescent="0.3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2"/>
    </row>
    <row r="538" spans="1:14" ht="14.4" x14ac:dyDescent="0.3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14.4" x14ac:dyDescent="0.3">
      <c r="A539" s="20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2"/>
    </row>
    <row r="540" spans="1:14" ht="14.4" x14ac:dyDescent="0.3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14.4" x14ac:dyDescent="0.3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2"/>
    </row>
    <row r="542" spans="1:14" ht="14.4" x14ac:dyDescent="0.3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14.4" x14ac:dyDescent="0.3">
      <c r="A543" s="20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2"/>
    </row>
    <row r="544" spans="1:14" ht="14.4" x14ac:dyDescent="0.3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14.4" x14ac:dyDescent="0.3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2"/>
    </row>
    <row r="546" spans="1:14" ht="14.4" x14ac:dyDescent="0.3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14.4" x14ac:dyDescent="0.3">
      <c r="A547" s="20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2"/>
    </row>
    <row r="548" spans="1:14" ht="14.4" x14ac:dyDescent="0.3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14.4" x14ac:dyDescent="0.3">
      <c r="A549" s="20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2"/>
    </row>
    <row r="550" spans="1:14" ht="14.4" x14ac:dyDescent="0.3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14.4" x14ac:dyDescent="0.3">
      <c r="A551" s="20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2"/>
    </row>
    <row r="552" spans="1:14" ht="14.4" x14ac:dyDescent="0.3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2"/>
    </row>
    <row r="553" spans="1:14" ht="14.4" x14ac:dyDescent="0.3">
      <c r="A553" s="20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2"/>
    </row>
    <row r="554" spans="1:14" ht="14.4" x14ac:dyDescent="0.3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2"/>
    </row>
    <row r="555" spans="1:14" ht="14.4" x14ac:dyDescent="0.3">
      <c r="A555" s="20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2"/>
    </row>
    <row r="556" spans="1:14" ht="14.4" x14ac:dyDescent="0.3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2"/>
    </row>
    <row r="557" spans="1:14" ht="14.4" x14ac:dyDescent="0.3">
      <c r="A557" s="20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2"/>
    </row>
    <row r="558" spans="1:14" ht="14.4" x14ac:dyDescent="0.3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2"/>
    </row>
    <row r="559" spans="1:14" ht="14.4" x14ac:dyDescent="0.3">
      <c r="A559" s="20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2"/>
    </row>
    <row r="560" spans="1:14" ht="14.4" x14ac:dyDescent="0.3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2"/>
    </row>
    <row r="561" spans="1:14" ht="14.4" x14ac:dyDescent="0.3">
      <c r="A561" s="20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2"/>
    </row>
    <row r="562" spans="1:14" ht="14.4" x14ac:dyDescent="0.3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2"/>
    </row>
    <row r="563" spans="1:14" ht="14.4" x14ac:dyDescent="0.3">
      <c r="A563" s="20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2"/>
    </row>
    <row r="564" spans="1:14" ht="14.4" x14ac:dyDescent="0.3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2"/>
    </row>
    <row r="565" spans="1:14" ht="14.4" x14ac:dyDescent="0.3">
      <c r="A565" s="20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2"/>
    </row>
    <row r="566" spans="1:14" ht="14.4" x14ac:dyDescent="0.3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2"/>
    </row>
    <row r="567" spans="1:14" ht="14.4" x14ac:dyDescent="0.3">
      <c r="A567" s="20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2"/>
    </row>
    <row r="568" spans="1:14" ht="14.4" x14ac:dyDescent="0.3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2"/>
    </row>
    <row r="569" spans="1:14" ht="14.4" x14ac:dyDescent="0.3">
      <c r="A569" s="20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2"/>
    </row>
    <row r="570" spans="1:14" ht="14.4" x14ac:dyDescent="0.3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2"/>
    </row>
    <row r="571" spans="1:14" ht="14.4" x14ac:dyDescent="0.3">
      <c r="A571" s="20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2"/>
    </row>
    <row r="572" spans="1:14" ht="14.4" x14ac:dyDescent="0.3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2"/>
    </row>
    <row r="573" spans="1:14" ht="14.4" x14ac:dyDescent="0.3">
      <c r="A573" s="20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2"/>
    </row>
    <row r="574" spans="1:14" ht="14.4" x14ac:dyDescent="0.3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2"/>
    </row>
    <row r="575" spans="1:14" ht="14.4" x14ac:dyDescent="0.3">
      <c r="A575" s="20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2"/>
    </row>
    <row r="576" spans="1:14" ht="14.4" x14ac:dyDescent="0.3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2"/>
    </row>
    <row r="577" spans="1:14" ht="14.4" x14ac:dyDescent="0.3">
      <c r="A577" s="20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2"/>
    </row>
    <row r="578" spans="1:14" ht="14.4" x14ac:dyDescent="0.3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2"/>
    </row>
    <row r="579" spans="1:14" ht="14.4" x14ac:dyDescent="0.3">
      <c r="A579" s="20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2"/>
    </row>
    <row r="580" spans="1:14" ht="14.4" x14ac:dyDescent="0.3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2"/>
    </row>
    <row r="581" spans="1:14" ht="14.4" x14ac:dyDescent="0.3">
      <c r="A581" s="20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2"/>
    </row>
    <row r="582" spans="1:14" ht="14.4" x14ac:dyDescent="0.3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2"/>
    </row>
    <row r="583" spans="1:14" ht="14.4" x14ac:dyDescent="0.3">
      <c r="A583" s="20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2"/>
    </row>
    <row r="584" spans="1:14" ht="14.4" x14ac:dyDescent="0.3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2"/>
    </row>
    <row r="585" spans="1:14" ht="14.4" x14ac:dyDescent="0.3">
      <c r="A585" s="20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2"/>
    </row>
    <row r="586" spans="1:14" ht="14.4" x14ac:dyDescent="0.3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2"/>
    </row>
    <row r="587" spans="1:14" ht="14.4" x14ac:dyDescent="0.3">
      <c r="A587" s="20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2"/>
    </row>
    <row r="588" spans="1:14" ht="14.4" x14ac:dyDescent="0.3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2"/>
    </row>
    <row r="589" spans="1:14" ht="14.4" x14ac:dyDescent="0.3">
      <c r="A589" s="20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2"/>
    </row>
    <row r="590" spans="1:14" ht="14.4" x14ac:dyDescent="0.3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2"/>
    </row>
    <row r="591" spans="1:14" ht="14.4" x14ac:dyDescent="0.3">
      <c r="A591" s="20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2"/>
    </row>
    <row r="592" spans="1:14" ht="14.4" x14ac:dyDescent="0.3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2"/>
    </row>
    <row r="593" spans="1:14" ht="14.4" x14ac:dyDescent="0.3">
      <c r="A593" s="20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2"/>
    </row>
    <row r="594" spans="1:14" ht="14.4" x14ac:dyDescent="0.3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2"/>
    </row>
    <row r="595" spans="1:14" ht="14.4" x14ac:dyDescent="0.3">
      <c r="A595" s="20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2"/>
    </row>
    <row r="596" spans="1:14" ht="14.4" x14ac:dyDescent="0.3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2"/>
    </row>
    <row r="597" spans="1:14" ht="14.4" x14ac:dyDescent="0.3">
      <c r="A597" s="20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2"/>
    </row>
    <row r="598" spans="1:14" ht="14.4" x14ac:dyDescent="0.3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2"/>
    </row>
    <row r="599" spans="1:14" ht="14.4" x14ac:dyDescent="0.3">
      <c r="A599" s="20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2"/>
    </row>
    <row r="600" spans="1:14" ht="14.4" x14ac:dyDescent="0.3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2"/>
    </row>
    <row r="601" spans="1:14" ht="14.4" x14ac:dyDescent="0.3">
      <c r="A601" s="20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2"/>
    </row>
    <row r="602" spans="1:14" ht="14.4" x14ac:dyDescent="0.3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2"/>
    </row>
    <row r="603" spans="1:14" ht="14.4" x14ac:dyDescent="0.3">
      <c r="A603" s="20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2"/>
    </row>
    <row r="604" spans="1:14" ht="14.4" x14ac:dyDescent="0.3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2"/>
    </row>
    <row r="605" spans="1:14" ht="14.4" x14ac:dyDescent="0.3">
      <c r="A605" s="20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2"/>
    </row>
    <row r="606" spans="1:14" ht="14.4" x14ac:dyDescent="0.3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2"/>
    </row>
    <row r="607" spans="1:14" ht="14.4" x14ac:dyDescent="0.3">
      <c r="A607" s="20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2"/>
    </row>
    <row r="608" spans="1:14" ht="14.4" x14ac:dyDescent="0.3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14.4" x14ac:dyDescent="0.3">
      <c r="A609" s="20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2"/>
    </row>
    <row r="610" spans="1:14" ht="14.4" x14ac:dyDescent="0.3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14.4" x14ac:dyDescent="0.3">
      <c r="A611" s="20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2"/>
    </row>
    <row r="612" spans="1:14" ht="14.4" x14ac:dyDescent="0.3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2"/>
    </row>
    <row r="613" spans="1:14" ht="14.4" x14ac:dyDescent="0.3">
      <c r="A613" s="20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2"/>
    </row>
    <row r="614" spans="1:14" ht="14.4" x14ac:dyDescent="0.3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14.4" x14ac:dyDescent="0.3">
      <c r="A615" s="20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2"/>
    </row>
    <row r="616" spans="1:14" ht="14.4" x14ac:dyDescent="0.3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14.4" x14ac:dyDescent="0.3">
      <c r="A617" s="20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2"/>
    </row>
    <row r="618" spans="1:14" ht="14.4" x14ac:dyDescent="0.3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14.4" x14ac:dyDescent="0.3">
      <c r="A619" s="20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2"/>
    </row>
    <row r="620" spans="1:14" ht="14.4" x14ac:dyDescent="0.3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14.4" x14ac:dyDescent="0.3">
      <c r="A621" s="20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2"/>
    </row>
    <row r="622" spans="1:14" ht="14.4" x14ac:dyDescent="0.3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14.4" x14ac:dyDescent="0.3">
      <c r="A623" s="20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2"/>
    </row>
    <row r="624" spans="1:14" ht="14.4" x14ac:dyDescent="0.3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14.4" x14ac:dyDescent="0.3">
      <c r="A625" s="20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2"/>
    </row>
    <row r="626" spans="1:14" ht="14.4" x14ac:dyDescent="0.3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2"/>
    </row>
    <row r="627" spans="1:14" ht="14.4" x14ac:dyDescent="0.3">
      <c r="A627" s="20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2"/>
    </row>
    <row r="628" spans="1:14" ht="14.4" x14ac:dyDescent="0.3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14.4" x14ac:dyDescent="0.3">
      <c r="A629" s="20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2"/>
    </row>
    <row r="630" spans="1:14" ht="14.4" x14ac:dyDescent="0.3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14.4" x14ac:dyDescent="0.3">
      <c r="A631" s="20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2"/>
    </row>
    <row r="632" spans="1:14" ht="14.4" x14ac:dyDescent="0.3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14.4" x14ac:dyDescent="0.3">
      <c r="A633" s="20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2"/>
    </row>
    <row r="634" spans="1:14" ht="14.4" x14ac:dyDescent="0.3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14.4" x14ac:dyDescent="0.3">
      <c r="A635" s="20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2"/>
    </row>
    <row r="636" spans="1:14" ht="14.4" x14ac:dyDescent="0.3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14.4" x14ac:dyDescent="0.3">
      <c r="A637" s="20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2"/>
    </row>
    <row r="638" spans="1:14" ht="14.4" x14ac:dyDescent="0.3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14.4" x14ac:dyDescent="0.3">
      <c r="A639" s="20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2"/>
    </row>
    <row r="640" spans="1:14" ht="14.4" x14ac:dyDescent="0.3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2"/>
    </row>
    <row r="641" spans="1:14" ht="14.4" x14ac:dyDescent="0.3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2"/>
    </row>
    <row r="642" spans="1:14" ht="14.4" x14ac:dyDescent="0.3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14.4" x14ac:dyDescent="0.3">
      <c r="A643" s="20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2"/>
    </row>
    <row r="644" spans="1:14" ht="14.4" x14ac:dyDescent="0.3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14.4" x14ac:dyDescent="0.3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2"/>
    </row>
    <row r="646" spans="1:14" ht="14.4" x14ac:dyDescent="0.3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2"/>
    </row>
    <row r="647" spans="1:14" ht="14.4" x14ac:dyDescent="0.3">
      <c r="A647" s="20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2"/>
    </row>
    <row r="648" spans="1:14" ht="14.4" x14ac:dyDescent="0.3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14.4" x14ac:dyDescent="0.3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2"/>
    </row>
    <row r="650" spans="1:14" ht="14.4" x14ac:dyDescent="0.3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14.4" x14ac:dyDescent="0.3">
      <c r="A651" s="20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2"/>
    </row>
    <row r="652" spans="1:14" ht="14.4" x14ac:dyDescent="0.3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14.4" x14ac:dyDescent="0.3">
      <c r="A653" s="20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2"/>
    </row>
    <row r="654" spans="1:14" ht="14.4" x14ac:dyDescent="0.3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14.4" x14ac:dyDescent="0.3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2"/>
    </row>
    <row r="656" spans="1:14" ht="14.4" x14ac:dyDescent="0.3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2"/>
    </row>
    <row r="657" spans="1:14" ht="14.4" x14ac:dyDescent="0.3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2"/>
    </row>
    <row r="658" spans="1:14" ht="14.4" x14ac:dyDescent="0.3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2"/>
    </row>
    <row r="659" spans="1:14" ht="14.4" x14ac:dyDescent="0.3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2"/>
    </row>
    <row r="660" spans="1:14" ht="14.4" x14ac:dyDescent="0.3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2"/>
    </row>
    <row r="661" spans="1:14" ht="14.4" x14ac:dyDescent="0.3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2"/>
    </row>
    <row r="662" spans="1:14" ht="14.4" x14ac:dyDescent="0.3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2"/>
    </row>
    <row r="663" spans="1:14" ht="14.4" x14ac:dyDescent="0.3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2"/>
    </row>
    <row r="664" spans="1:14" ht="14.4" x14ac:dyDescent="0.3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2"/>
    </row>
    <row r="665" spans="1:14" ht="14.4" x14ac:dyDescent="0.3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2"/>
    </row>
    <row r="666" spans="1:14" ht="14.4" x14ac:dyDescent="0.3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2"/>
    </row>
    <row r="667" spans="1:14" ht="14.4" x14ac:dyDescent="0.3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2"/>
    </row>
    <row r="668" spans="1:14" ht="14.4" x14ac:dyDescent="0.3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2"/>
    </row>
    <row r="669" spans="1:14" ht="14.4" x14ac:dyDescent="0.3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2"/>
    </row>
    <row r="670" spans="1:14" ht="14.4" x14ac:dyDescent="0.3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2"/>
    </row>
    <row r="671" spans="1:14" ht="14.4" x14ac:dyDescent="0.3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2"/>
    </row>
    <row r="672" spans="1:14" ht="14.4" x14ac:dyDescent="0.3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2"/>
    </row>
    <row r="673" spans="1:14" ht="14.4" x14ac:dyDescent="0.3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2"/>
    </row>
    <row r="674" spans="1:14" ht="14.4" x14ac:dyDescent="0.3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2"/>
    </row>
    <row r="675" spans="1:14" ht="14.4" x14ac:dyDescent="0.3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2"/>
    </row>
    <row r="676" spans="1:14" ht="14.4" x14ac:dyDescent="0.3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2"/>
    </row>
    <row r="677" spans="1:14" ht="14.4" x14ac:dyDescent="0.3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2"/>
    </row>
    <row r="678" spans="1:14" ht="14.4" x14ac:dyDescent="0.3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2"/>
    </row>
    <row r="679" spans="1:14" ht="14.4" x14ac:dyDescent="0.3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2"/>
    </row>
    <row r="680" spans="1:14" ht="14.4" x14ac:dyDescent="0.3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2"/>
    </row>
    <row r="681" spans="1:14" ht="14.4" x14ac:dyDescent="0.3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2"/>
    </row>
    <row r="682" spans="1:14" ht="14.4" x14ac:dyDescent="0.3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2"/>
    </row>
    <row r="683" spans="1:14" ht="14.4" x14ac:dyDescent="0.3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2"/>
    </row>
    <row r="684" spans="1:14" ht="14.4" x14ac:dyDescent="0.3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2"/>
    </row>
    <row r="685" spans="1:14" ht="14.4" x14ac:dyDescent="0.3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2"/>
    </row>
    <row r="686" spans="1:14" ht="14.4" x14ac:dyDescent="0.3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2"/>
    </row>
    <row r="687" spans="1:14" ht="14.4" x14ac:dyDescent="0.3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2"/>
    </row>
    <row r="688" spans="1:14" ht="14.4" x14ac:dyDescent="0.3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2"/>
    </row>
    <row r="689" spans="1:14" ht="14.4" x14ac:dyDescent="0.3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2"/>
    </row>
    <row r="690" spans="1:14" ht="14.4" x14ac:dyDescent="0.3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2"/>
    </row>
    <row r="691" spans="1:14" ht="14.4" x14ac:dyDescent="0.3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2"/>
    </row>
    <row r="692" spans="1:14" ht="14.4" x14ac:dyDescent="0.3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2"/>
    </row>
    <row r="693" spans="1:14" ht="14.4" x14ac:dyDescent="0.3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2"/>
    </row>
    <row r="694" spans="1:14" ht="14.4" x14ac:dyDescent="0.3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2"/>
    </row>
    <row r="695" spans="1:14" ht="14.4" x14ac:dyDescent="0.3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2"/>
    </row>
    <row r="696" spans="1:14" ht="14.4" x14ac:dyDescent="0.3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2"/>
    </row>
    <row r="697" spans="1:14" ht="14.4" x14ac:dyDescent="0.3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2"/>
    </row>
    <row r="698" spans="1:14" ht="14.4" x14ac:dyDescent="0.3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2"/>
    </row>
    <row r="699" spans="1:14" ht="14.4" x14ac:dyDescent="0.3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2"/>
    </row>
    <row r="700" spans="1:14" ht="14.4" x14ac:dyDescent="0.3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2"/>
    </row>
    <row r="701" spans="1:14" ht="14.4" x14ac:dyDescent="0.3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2"/>
    </row>
    <row r="702" spans="1:14" ht="14.4" x14ac:dyDescent="0.3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2"/>
    </row>
    <row r="703" spans="1:14" ht="14.4" x14ac:dyDescent="0.3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2"/>
    </row>
    <row r="704" spans="1:14" ht="14.4" x14ac:dyDescent="0.3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2"/>
    </row>
    <row r="705" spans="1:14" ht="14.4" x14ac:dyDescent="0.3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2"/>
    </row>
    <row r="706" spans="1:14" ht="14.4" x14ac:dyDescent="0.3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2"/>
    </row>
    <row r="707" spans="1:14" ht="14.4" x14ac:dyDescent="0.3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2"/>
    </row>
    <row r="708" spans="1:14" ht="14.4" x14ac:dyDescent="0.3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2"/>
    </row>
    <row r="709" spans="1:14" ht="14.4" x14ac:dyDescent="0.3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2"/>
    </row>
    <row r="710" spans="1:14" ht="14.4" x14ac:dyDescent="0.3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2"/>
    </row>
    <row r="711" spans="1:14" ht="14.4" x14ac:dyDescent="0.3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2"/>
    </row>
    <row r="712" spans="1:14" ht="14.4" x14ac:dyDescent="0.3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2"/>
    </row>
    <row r="713" spans="1:14" ht="14.4" x14ac:dyDescent="0.3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2"/>
    </row>
    <row r="714" spans="1:14" ht="14.4" x14ac:dyDescent="0.3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2"/>
    </row>
    <row r="715" spans="1:14" ht="14.4" x14ac:dyDescent="0.3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2"/>
    </row>
    <row r="716" spans="1:14" ht="14.4" x14ac:dyDescent="0.3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2"/>
    </row>
    <row r="717" spans="1:14" ht="14.4" x14ac:dyDescent="0.3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2"/>
    </row>
    <row r="718" spans="1:14" ht="14.4" x14ac:dyDescent="0.3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2"/>
    </row>
    <row r="719" spans="1:14" ht="14.4" x14ac:dyDescent="0.3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2"/>
    </row>
    <row r="720" spans="1:14" ht="14.4" x14ac:dyDescent="0.3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2"/>
    </row>
    <row r="721" spans="1:14" ht="14.4" x14ac:dyDescent="0.3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2"/>
    </row>
    <row r="722" spans="1:14" ht="14.4" x14ac:dyDescent="0.3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2"/>
    </row>
    <row r="723" spans="1:14" ht="14.4" x14ac:dyDescent="0.3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2"/>
    </row>
    <row r="724" spans="1:14" ht="14.4" x14ac:dyDescent="0.3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14.4" x14ac:dyDescent="0.3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2"/>
    </row>
    <row r="726" spans="1:14" ht="14.4" x14ac:dyDescent="0.3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14.4" x14ac:dyDescent="0.3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2"/>
    </row>
    <row r="728" spans="1:14" ht="14.4" x14ac:dyDescent="0.3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14.4" x14ac:dyDescent="0.3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2"/>
    </row>
    <row r="730" spans="1:14" ht="14.4" x14ac:dyDescent="0.3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14.4" x14ac:dyDescent="0.3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2"/>
    </row>
    <row r="732" spans="1:14" ht="14.4" x14ac:dyDescent="0.3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14.4" x14ac:dyDescent="0.3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2"/>
    </row>
    <row r="734" spans="1:14" ht="14.4" x14ac:dyDescent="0.3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14.4" x14ac:dyDescent="0.3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2"/>
    </row>
    <row r="736" spans="1:14" ht="14.4" x14ac:dyDescent="0.3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2"/>
    </row>
    <row r="737" spans="1:14" ht="14.4" x14ac:dyDescent="0.3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2"/>
    </row>
    <row r="738" spans="1:14" ht="14.4" x14ac:dyDescent="0.3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14.4" x14ac:dyDescent="0.3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2"/>
    </row>
    <row r="740" spans="1:14" ht="14.4" x14ac:dyDescent="0.3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14.4" x14ac:dyDescent="0.3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2"/>
    </row>
    <row r="742" spans="1:14" ht="14.4" x14ac:dyDescent="0.3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2"/>
    </row>
    <row r="743" spans="1:14" ht="14.4" x14ac:dyDescent="0.3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2"/>
    </row>
    <row r="744" spans="1:14" ht="14.4" x14ac:dyDescent="0.3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14.4" x14ac:dyDescent="0.3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2"/>
    </row>
    <row r="746" spans="1:14" ht="14.4" x14ac:dyDescent="0.3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14.4" x14ac:dyDescent="0.3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2"/>
    </row>
    <row r="748" spans="1:14" ht="14.4" x14ac:dyDescent="0.3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14.4" x14ac:dyDescent="0.3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2"/>
    </row>
    <row r="750" spans="1:14" ht="14.4" x14ac:dyDescent="0.3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2"/>
    </row>
    <row r="751" spans="1:14" ht="14.4" x14ac:dyDescent="0.3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2"/>
    </row>
    <row r="752" spans="1:14" ht="14.4" x14ac:dyDescent="0.3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14.4" x14ac:dyDescent="0.3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2"/>
    </row>
    <row r="754" spans="1:14" ht="14.4" x14ac:dyDescent="0.3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14.4" x14ac:dyDescent="0.3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2"/>
    </row>
    <row r="756" spans="1:14" ht="14.4" x14ac:dyDescent="0.3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2"/>
    </row>
    <row r="757" spans="1:14" ht="14.4" x14ac:dyDescent="0.3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2"/>
    </row>
    <row r="758" spans="1:14" ht="14.4" x14ac:dyDescent="0.3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14.4" x14ac:dyDescent="0.3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2"/>
    </row>
    <row r="760" spans="1:14" ht="14.4" x14ac:dyDescent="0.3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14.4" x14ac:dyDescent="0.3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2"/>
    </row>
    <row r="762" spans="1:14" ht="14.4" x14ac:dyDescent="0.3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14.4" x14ac:dyDescent="0.3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2"/>
    </row>
    <row r="764" spans="1:14" ht="14.4" x14ac:dyDescent="0.3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14.4" x14ac:dyDescent="0.3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2"/>
    </row>
    <row r="766" spans="1:14" ht="14.4" x14ac:dyDescent="0.3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2"/>
    </row>
    <row r="767" spans="1:14" ht="14.4" x14ac:dyDescent="0.3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2"/>
    </row>
    <row r="768" spans="1:14" ht="14.4" x14ac:dyDescent="0.3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</row>
    <row r="769" spans="1:14" ht="14.4" x14ac:dyDescent="0.3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2"/>
    </row>
    <row r="770" spans="1:14" ht="14.4" x14ac:dyDescent="0.3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2"/>
    </row>
    <row r="771" spans="1:14" ht="14.4" x14ac:dyDescent="0.3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2"/>
    </row>
    <row r="772" spans="1:14" ht="14.4" x14ac:dyDescent="0.3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2"/>
    </row>
    <row r="773" spans="1:14" ht="14.4" x14ac:dyDescent="0.3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2"/>
    </row>
    <row r="774" spans="1:14" ht="14.4" x14ac:dyDescent="0.3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2"/>
    </row>
    <row r="775" spans="1:14" ht="14.4" x14ac:dyDescent="0.3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2"/>
    </row>
    <row r="776" spans="1:14" ht="14.4" x14ac:dyDescent="0.3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2"/>
    </row>
    <row r="777" spans="1:14" ht="14.4" x14ac:dyDescent="0.3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2"/>
    </row>
    <row r="778" spans="1:14" ht="14.4" x14ac:dyDescent="0.3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2"/>
    </row>
    <row r="779" spans="1:14" ht="14.4" x14ac:dyDescent="0.3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2"/>
    </row>
    <row r="780" spans="1:14" ht="14.4" x14ac:dyDescent="0.3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2"/>
    </row>
    <row r="781" spans="1:14" ht="14.4" x14ac:dyDescent="0.3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2"/>
    </row>
    <row r="782" spans="1:14" ht="14.4" x14ac:dyDescent="0.3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2"/>
    </row>
    <row r="783" spans="1:14" ht="14.4" x14ac:dyDescent="0.3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2"/>
    </row>
    <row r="784" spans="1:14" ht="14.4" x14ac:dyDescent="0.3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2"/>
    </row>
    <row r="785" spans="1:14" ht="14.4" x14ac:dyDescent="0.3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2"/>
    </row>
    <row r="786" spans="1:14" ht="14.4" x14ac:dyDescent="0.3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2"/>
    </row>
    <row r="787" spans="1:14" ht="14.4" x14ac:dyDescent="0.3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2"/>
    </row>
    <row r="788" spans="1:14" ht="14.4" x14ac:dyDescent="0.3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2"/>
    </row>
    <row r="789" spans="1:14" ht="14.4" x14ac:dyDescent="0.3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2"/>
    </row>
    <row r="790" spans="1:14" ht="14.4" x14ac:dyDescent="0.3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2"/>
    </row>
    <row r="791" spans="1:14" ht="14.4" x14ac:dyDescent="0.3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2"/>
    </row>
    <row r="792" spans="1:14" ht="14.4" x14ac:dyDescent="0.3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2"/>
    </row>
    <row r="793" spans="1:14" ht="14.4" x14ac:dyDescent="0.3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2"/>
    </row>
    <row r="794" spans="1:14" ht="14.4" x14ac:dyDescent="0.3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2"/>
    </row>
    <row r="795" spans="1:14" ht="14.4" x14ac:dyDescent="0.3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2"/>
    </row>
    <row r="796" spans="1:14" ht="14.4" x14ac:dyDescent="0.3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2"/>
    </row>
    <row r="797" spans="1:14" ht="14.4" x14ac:dyDescent="0.3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2"/>
    </row>
    <row r="798" spans="1:14" ht="14.4" x14ac:dyDescent="0.3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2"/>
    </row>
    <row r="799" spans="1:14" ht="14.4" x14ac:dyDescent="0.3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2"/>
    </row>
    <row r="800" spans="1:14" ht="14.4" x14ac:dyDescent="0.3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2"/>
    </row>
    <row r="801" spans="1:14" ht="14.4" x14ac:dyDescent="0.3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2"/>
    </row>
    <row r="802" spans="1:14" ht="14.4" x14ac:dyDescent="0.3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2"/>
    </row>
    <row r="803" spans="1:14" ht="14.4" x14ac:dyDescent="0.3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2"/>
    </row>
    <row r="804" spans="1:14" ht="14.4" x14ac:dyDescent="0.3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2"/>
    </row>
    <row r="805" spans="1:14" ht="14.4" x14ac:dyDescent="0.3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2"/>
    </row>
    <row r="806" spans="1:14" ht="14.4" x14ac:dyDescent="0.3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2"/>
    </row>
    <row r="807" spans="1:14" ht="14.4" x14ac:dyDescent="0.3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2"/>
    </row>
    <row r="808" spans="1:14" ht="14.4" x14ac:dyDescent="0.3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2"/>
    </row>
    <row r="809" spans="1:14" ht="14.4" x14ac:dyDescent="0.3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2"/>
    </row>
    <row r="810" spans="1:14" ht="14.4" x14ac:dyDescent="0.3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2"/>
    </row>
    <row r="811" spans="1:14" ht="14.4" x14ac:dyDescent="0.3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2"/>
    </row>
    <row r="812" spans="1:14" ht="14.4" x14ac:dyDescent="0.3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2"/>
    </row>
    <row r="813" spans="1:14" ht="14.4" x14ac:dyDescent="0.3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2"/>
    </row>
    <row r="814" spans="1:14" ht="14.4" x14ac:dyDescent="0.3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2"/>
    </row>
    <row r="815" spans="1:14" ht="14.4" x14ac:dyDescent="0.3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2"/>
    </row>
    <row r="816" spans="1:14" ht="14.4" x14ac:dyDescent="0.3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2"/>
    </row>
    <row r="817" spans="1:14" ht="14.4" x14ac:dyDescent="0.3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2"/>
    </row>
    <row r="818" spans="1:14" ht="14.4" x14ac:dyDescent="0.3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2"/>
    </row>
    <row r="819" spans="1:14" ht="14.4" x14ac:dyDescent="0.3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2"/>
    </row>
    <row r="820" spans="1:14" ht="14.4" x14ac:dyDescent="0.3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2"/>
    </row>
    <row r="821" spans="1:14" ht="14.4" x14ac:dyDescent="0.3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2"/>
    </row>
    <row r="822" spans="1:14" ht="14.4" x14ac:dyDescent="0.3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2"/>
    </row>
    <row r="823" spans="1:14" ht="14.4" x14ac:dyDescent="0.3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2"/>
    </row>
    <row r="824" spans="1:14" ht="14.4" x14ac:dyDescent="0.3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2"/>
    </row>
    <row r="825" spans="1:14" ht="14.4" x14ac:dyDescent="0.3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2"/>
    </row>
    <row r="826" spans="1:14" ht="14.4" x14ac:dyDescent="0.3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2"/>
    </row>
    <row r="827" spans="1:14" ht="14.4" x14ac:dyDescent="0.3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2"/>
    </row>
    <row r="828" spans="1:14" ht="14.4" x14ac:dyDescent="0.3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2"/>
    </row>
    <row r="829" spans="1:14" ht="14.4" x14ac:dyDescent="0.3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2"/>
    </row>
    <row r="830" spans="1:14" ht="14.4" x14ac:dyDescent="0.3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14.4" x14ac:dyDescent="0.3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2"/>
    </row>
    <row r="832" spans="1:14" ht="14.4" x14ac:dyDescent="0.3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2"/>
    </row>
    <row r="833" spans="1:14" ht="14.4" x14ac:dyDescent="0.3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2"/>
    </row>
    <row r="834" spans="1:14" ht="14.4" x14ac:dyDescent="0.3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14.4" x14ac:dyDescent="0.3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2"/>
    </row>
    <row r="836" spans="1:14" ht="14.4" x14ac:dyDescent="0.3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14.4" x14ac:dyDescent="0.3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2"/>
    </row>
    <row r="838" spans="1:14" ht="14.4" x14ac:dyDescent="0.3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14.4" x14ac:dyDescent="0.3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2"/>
    </row>
    <row r="840" spans="1:14" ht="14.4" x14ac:dyDescent="0.3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14.4" x14ac:dyDescent="0.3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2"/>
    </row>
    <row r="842" spans="1:14" ht="14.4" x14ac:dyDescent="0.3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14.4" x14ac:dyDescent="0.3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2"/>
    </row>
    <row r="844" spans="1:14" ht="14.4" x14ac:dyDescent="0.3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14.4" x14ac:dyDescent="0.3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2"/>
    </row>
    <row r="846" spans="1:14" ht="14.4" x14ac:dyDescent="0.3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2"/>
    </row>
    <row r="847" spans="1:14" ht="14.4" x14ac:dyDescent="0.3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2"/>
    </row>
    <row r="848" spans="1:14" ht="14.4" x14ac:dyDescent="0.3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14.4" x14ac:dyDescent="0.3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2"/>
    </row>
    <row r="850" spans="1:14" ht="14.4" x14ac:dyDescent="0.3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14.4" x14ac:dyDescent="0.3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2"/>
    </row>
    <row r="852" spans="1:14" ht="14.4" x14ac:dyDescent="0.3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2"/>
    </row>
    <row r="853" spans="1:14" ht="14.4" x14ac:dyDescent="0.3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2"/>
    </row>
    <row r="854" spans="1:14" ht="14.4" x14ac:dyDescent="0.3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14.4" x14ac:dyDescent="0.3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2"/>
    </row>
    <row r="856" spans="1:14" ht="14.4" x14ac:dyDescent="0.3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14.4" x14ac:dyDescent="0.3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2"/>
    </row>
    <row r="858" spans="1:14" ht="14.4" x14ac:dyDescent="0.3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14.4" x14ac:dyDescent="0.3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2"/>
    </row>
    <row r="860" spans="1:14" ht="14.4" x14ac:dyDescent="0.3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2"/>
    </row>
    <row r="861" spans="1:14" ht="14.4" x14ac:dyDescent="0.3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2"/>
    </row>
    <row r="862" spans="1:14" ht="14.4" x14ac:dyDescent="0.3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14.4" x14ac:dyDescent="0.3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2"/>
    </row>
    <row r="864" spans="1:14" ht="14.4" x14ac:dyDescent="0.3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14.4" x14ac:dyDescent="0.3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2"/>
    </row>
    <row r="866" spans="1:14" ht="14.4" x14ac:dyDescent="0.3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14.4" x14ac:dyDescent="0.3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2"/>
    </row>
    <row r="868" spans="1:14" ht="14.4" x14ac:dyDescent="0.3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14.4" x14ac:dyDescent="0.3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2"/>
    </row>
    <row r="870" spans="1:14" ht="14.4" x14ac:dyDescent="0.3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14.4" x14ac:dyDescent="0.3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2"/>
    </row>
    <row r="872" spans="1:14" ht="14.4" x14ac:dyDescent="0.3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14.4" x14ac:dyDescent="0.3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2"/>
    </row>
    <row r="874" spans="1:14" ht="14.4" x14ac:dyDescent="0.3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14.4" x14ac:dyDescent="0.3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2"/>
    </row>
    <row r="876" spans="1:14" ht="14.4" x14ac:dyDescent="0.3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2"/>
    </row>
    <row r="877" spans="1:14" ht="14.4" x14ac:dyDescent="0.3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2"/>
    </row>
    <row r="878" spans="1:14" ht="14.4" x14ac:dyDescent="0.3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14.4" x14ac:dyDescent="0.3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2"/>
    </row>
    <row r="880" spans="1:14" ht="14.4" x14ac:dyDescent="0.3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14.4" x14ac:dyDescent="0.3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2"/>
    </row>
    <row r="882" spans="1:14" ht="14.4" x14ac:dyDescent="0.3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2"/>
    </row>
    <row r="883" spans="1:14" ht="14.4" x14ac:dyDescent="0.3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2"/>
    </row>
    <row r="884" spans="1:14" ht="14.4" x14ac:dyDescent="0.3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2"/>
    </row>
    <row r="885" spans="1:14" ht="14.4" x14ac:dyDescent="0.3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2"/>
    </row>
    <row r="886" spans="1:14" ht="14.4" x14ac:dyDescent="0.3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2"/>
    </row>
    <row r="887" spans="1:14" ht="14.4" x14ac:dyDescent="0.3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2"/>
    </row>
    <row r="888" spans="1:14" ht="14.4" x14ac:dyDescent="0.3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2"/>
    </row>
    <row r="889" spans="1:14" ht="14.4" x14ac:dyDescent="0.3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2"/>
    </row>
    <row r="890" spans="1:14" ht="14.4" x14ac:dyDescent="0.3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2"/>
    </row>
    <row r="891" spans="1:14" ht="14.4" x14ac:dyDescent="0.3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2"/>
    </row>
    <row r="892" spans="1:14" ht="14.4" x14ac:dyDescent="0.3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2"/>
    </row>
    <row r="893" spans="1:14" ht="14.4" x14ac:dyDescent="0.3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2"/>
    </row>
    <row r="894" spans="1:14" ht="14.4" x14ac:dyDescent="0.3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2"/>
    </row>
    <row r="895" spans="1:14" ht="14.4" x14ac:dyDescent="0.3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2"/>
    </row>
    <row r="896" spans="1:14" ht="14.4" x14ac:dyDescent="0.3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2"/>
    </row>
    <row r="897" spans="1:14" ht="14.4" x14ac:dyDescent="0.3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2"/>
    </row>
    <row r="898" spans="1:14" ht="14.4" x14ac:dyDescent="0.3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2"/>
    </row>
    <row r="899" spans="1:14" ht="14.4" x14ac:dyDescent="0.3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2"/>
    </row>
    <row r="900" spans="1:14" ht="14.4" x14ac:dyDescent="0.3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2"/>
    </row>
    <row r="901" spans="1:14" ht="14.4" x14ac:dyDescent="0.3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2"/>
    </row>
    <row r="902" spans="1:14" ht="14.4" x14ac:dyDescent="0.3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2"/>
    </row>
    <row r="903" spans="1:14" ht="14.4" x14ac:dyDescent="0.3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2"/>
    </row>
    <row r="904" spans="1:14" ht="14.4" x14ac:dyDescent="0.3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2"/>
    </row>
    <row r="905" spans="1:14" ht="14.4" x14ac:dyDescent="0.3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2"/>
    </row>
    <row r="906" spans="1:14" ht="14.4" x14ac:dyDescent="0.3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2"/>
    </row>
    <row r="907" spans="1:14" ht="14.4" x14ac:dyDescent="0.3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2"/>
    </row>
    <row r="908" spans="1:14" ht="14.4" x14ac:dyDescent="0.3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2"/>
    </row>
    <row r="909" spans="1:14" ht="14.4" x14ac:dyDescent="0.3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2"/>
    </row>
    <row r="910" spans="1:14" ht="14.4" x14ac:dyDescent="0.3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2"/>
    </row>
    <row r="911" spans="1:14" ht="14.4" x14ac:dyDescent="0.3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2"/>
    </row>
    <row r="912" spans="1:14" ht="14.4" x14ac:dyDescent="0.3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2"/>
    </row>
    <row r="913" spans="1:14" ht="14.4" x14ac:dyDescent="0.3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2"/>
    </row>
    <row r="914" spans="1:14" ht="14.4" x14ac:dyDescent="0.3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2"/>
    </row>
    <row r="915" spans="1:14" ht="14.4" x14ac:dyDescent="0.3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2"/>
    </row>
    <row r="916" spans="1:14" ht="14.4" x14ac:dyDescent="0.3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2"/>
    </row>
    <row r="917" spans="1:14" ht="14.4" x14ac:dyDescent="0.3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2"/>
    </row>
    <row r="918" spans="1:14" ht="14.4" x14ac:dyDescent="0.3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2"/>
    </row>
    <row r="919" spans="1:14" ht="14.4" x14ac:dyDescent="0.3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2"/>
    </row>
    <row r="920" spans="1:14" ht="14.4" x14ac:dyDescent="0.3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2"/>
    </row>
    <row r="921" spans="1:14" ht="14.4" x14ac:dyDescent="0.3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2"/>
    </row>
    <row r="922" spans="1:14" ht="14.4" x14ac:dyDescent="0.3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2"/>
    </row>
    <row r="923" spans="1:14" ht="14.4" x14ac:dyDescent="0.3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2"/>
    </row>
    <row r="924" spans="1:14" ht="14.4" x14ac:dyDescent="0.3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2"/>
    </row>
    <row r="925" spans="1:14" ht="14.4" x14ac:dyDescent="0.3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2"/>
    </row>
    <row r="926" spans="1:14" ht="14.4" x14ac:dyDescent="0.3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2"/>
    </row>
    <row r="927" spans="1:14" ht="14.4" x14ac:dyDescent="0.3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2"/>
    </row>
    <row r="928" spans="1:14" ht="14.4" x14ac:dyDescent="0.3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2"/>
    </row>
    <row r="929" spans="1:14" ht="14.4" x14ac:dyDescent="0.3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2"/>
    </row>
    <row r="930" spans="1:14" ht="14.4" x14ac:dyDescent="0.3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2"/>
    </row>
    <row r="931" spans="1:14" ht="14.4" x14ac:dyDescent="0.3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2"/>
    </row>
    <row r="932" spans="1:14" ht="14.4" x14ac:dyDescent="0.3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2"/>
    </row>
    <row r="933" spans="1:14" ht="14.4" x14ac:dyDescent="0.3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2"/>
    </row>
    <row r="934" spans="1:14" ht="14.4" x14ac:dyDescent="0.3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2"/>
    </row>
    <row r="935" spans="1:14" ht="14.4" x14ac:dyDescent="0.3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2"/>
    </row>
    <row r="936" spans="1:14" ht="14.4" x14ac:dyDescent="0.3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2"/>
    </row>
    <row r="937" spans="1:14" ht="14.4" x14ac:dyDescent="0.3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2"/>
    </row>
    <row r="938" spans="1:14" ht="14.4" x14ac:dyDescent="0.3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2"/>
    </row>
    <row r="939" spans="1:14" ht="14.4" x14ac:dyDescent="0.3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2"/>
    </row>
    <row r="940" spans="1:14" ht="14.4" x14ac:dyDescent="0.3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14.4" x14ac:dyDescent="0.3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2"/>
    </row>
    <row r="942" spans="1:14" ht="14.4" x14ac:dyDescent="0.3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2"/>
    </row>
    <row r="943" spans="1:14" ht="14.4" x14ac:dyDescent="0.3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2"/>
    </row>
    <row r="944" spans="1:14" ht="14.4" x14ac:dyDescent="0.3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14.4" x14ac:dyDescent="0.3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2"/>
    </row>
    <row r="946" spans="1:14" ht="14.4" x14ac:dyDescent="0.3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14.4" x14ac:dyDescent="0.3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2"/>
    </row>
    <row r="948" spans="1:14" ht="14.4" x14ac:dyDescent="0.3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14.4" x14ac:dyDescent="0.3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2"/>
    </row>
    <row r="950" spans="1:14" ht="14.4" x14ac:dyDescent="0.3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14.4" x14ac:dyDescent="0.3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2"/>
    </row>
    <row r="952" spans="1:14" ht="14.4" x14ac:dyDescent="0.3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14.4" x14ac:dyDescent="0.3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2"/>
    </row>
    <row r="954" spans="1:14" ht="14.4" x14ac:dyDescent="0.3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14.4" x14ac:dyDescent="0.3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2"/>
    </row>
    <row r="956" spans="1:14" ht="14.4" x14ac:dyDescent="0.3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14.4" x14ac:dyDescent="0.3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2"/>
    </row>
    <row r="958" spans="1:14" ht="14.4" x14ac:dyDescent="0.3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14.4" x14ac:dyDescent="0.3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2"/>
    </row>
    <row r="960" spans="1:14" ht="14.4" x14ac:dyDescent="0.3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14.4" x14ac:dyDescent="0.3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2"/>
    </row>
    <row r="962" spans="1:14" ht="14.4" x14ac:dyDescent="0.3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14.4" x14ac:dyDescent="0.3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2"/>
    </row>
    <row r="964" spans="1:14" ht="14.4" x14ac:dyDescent="0.3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14.4" x14ac:dyDescent="0.3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2"/>
    </row>
    <row r="966" spans="1:14" ht="14.4" x14ac:dyDescent="0.3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14.4" x14ac:dyDescent="0.3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2"/>
    </row>
    <row r="968" spans="1:14" ht="14.4" x14ac:dyDescent="0.3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14.4" x14ac:dyDescent="0.3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2"/>
    </row>
    <row r="970" spans="1:14" ht="14.4" x14ac:dyDescent="0.3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14.4" x14ac:dyDescent="0.3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2"/>
    </row>
    <row r="972" spans="1:14" ht="14.4" x14ac:dyDescent="0.3">
      <c r="A972" s="23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14.4" x14ac:dyDescent="0.3">
      <c r="A973" s="23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2"/>
    </row>
    <row r="974" spans="1:14" ht="14.4" x14ac:dyDescent="0.3">
      <c r="A974" s="23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14.4" x14ac:dyDescent="0.3">
      <c r="A975" s="23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2"/>
    </row>
    <row r="976" spans="1:14" ht="14.4" x14ac:dyDescent="0.3">
      <c r="A976" s="23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14.4" x14ac:dyDescent="0.3">
      <c r="A977" s="23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2"/>
    </row>
    <row r="978" spans="1:14" ht="14.4" x14ac:dyDescent="0.3">
      <c r="A978" s="23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14.4" x14ac:dyDescent="0.3">
      <c r="A979" s="23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2"/>
    </row>
    <row r="980" spans="1:14" ht="14.4" x14ac:dyDescent="0.3">
      <c r="A980" s="23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</sheetData>
  <conditionalFormatting sqref="B20:B39 C20:M28">
    <cfRule type="cellIs" dxfId="4" priority="1" operator="lessThan">
      <formula>0</formula>
    </cfRule>
  </conditionalFormatting>
  <printOptions horizontalCentered="1"/>
  <pageMargins left="0" right="0" top="0.39370078740157477" bottom="0.39370078740157477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80"/>
  <sheetViews>
    <sheetView topLeftCell="A10" workbookViewId="0">
      <selection activeCell="A41" sqref="A41:XFD41"/>
    </sheetView>
  </sheetViews>
  <sheetFormatPr defaultColWidth="14.44140625" defaultRowHeight="15" customHeight="1" x14ac:dyDescent="0.3"/>
  <cols>
    <col min="1" max="1" width="43.33203125" customWidth="1"/>
    <col min="2" max="2" width="18" customWidth="1"/>
    <col min="3" max="3" width="18.33203125" customWidth="1"/>
    <col min="4" max="9" width="18" customWidth="1"/>
    <col min="10" max="10" width="18.88671875" customWidth="1"/>
    <col min="11" max="11" width="18" customWidth="1"/>
    <col min="12" max="12" width="19.6640625" customWidth="1"/>
    <col min="13" max="13" width="19.44140625" customWidth="1"/>
    <col min="14" max="14" width="20.109375" customWidth="1"/>
  </cols>
  <sheetData>
    <row r="1" spans="1:14" ht="33" customHeight="1" x14ac:dyDescent="0.3">
      <c r="A1" s="1"/>
      <c r="B1" s="2">
        <v>46753</v>
      </c>
      <c r="C1" s="2">
        <v>46784</v>
      </c>
      <c r="D1" s="2">
        <v>46813</v>
      </c>
      <c r="E1" s="2">
        <v>46844</v>
      </c>
      <c r="F1" s="2">
        <v>46874</v>
      </c>
      <c r="G1" s="2">
        <v>46905</v>
      </c>
      <c r="H1" s="2">
        <v>46935</v>
      </c>
      <c r="I1" s="2">
        <v>46966</v>
      </c>
      <c r="J1" s="2">
        <v>46997</v>
      </c>
      <c r="K1" s="2">
        <v>47027</v>
      </c>
      <c r="L1" s="2">
        <v>47058</v>
      </c>
      <c r="M1" s="2">
        <v>47088</v>
      </c>
      <c r="N1" s="3" t="s">
        <v>0</v>
      </c>
    </row>
    <row r="2" spans="1:14" ht="33" customHeight="1" x14ac:dyDescent="0.3">
      <c r="A2" s="4" t="s">
        <v>1</v>
      </c>
      <c r="B2" s="3">
        <f>ROUNDDOWN(Dados!$B$1+('2027'!M2-('2027'!M2*Dados!$B$3)),0)</f>
        <v>188</v>
      </c>
      <c r="C2" s="3">
        <f>ROUNDDOWN(Dados!$B$1+(B2-(B2*Dados!$B$3)),0)</f>
        <v>194</v>
      </c>
      <c r="D2" s="3">
        <f>ROUNDDOWN(Dados!$B$1+(C2-(C2*Dados!$B$3)),0)</f>
        <v>200</v>
      </c>
      <c r="E2" s="3">
        <f>ROUNDDOWN(Dados!$B$1+(D2-(D2*Dados!$B$3)),0)</f>
        <v>206</v>
      </c>
      <c r="F2" s="3">
        <f>ROUNDDOWN(Dados!$B$1+(E2-(E2*Dados!$B$3)),0)</f>
        <v>211</v>
      </c>
      <c r="G2" s="3">
        <f>ROUNDDOWN(Dados!$B$1+(F2-(F2*Dados!$B$3)),0)</f>
        <v>216</v>
      </c>
      <c r="H2" s="3">
        <f>ROUNDDOWN(Dados!$B$1+(G2-(G2*Dados!$B$3)),0)</f>
        <v>221</v>
      </c>
      <c r="I2" s="3">
        <f>ROUNDDOWN(Dados!$B$1+(H2-(H2*Dados!$B$3)),0)</f>
        <v>226</v>
      </c>
      <c r="J2" s="3">
        <f>ROUNDDOWN(Dados!$B$1+(I2-(I2*Dados!$B$3)),0)</f>
        <v>231</v>
      </c>
      <c r="K2" s="3">
        <f>ROUNDDOWN(Dados!$B$1+(J2-(J2*Dados!$B$3)),0)</f>
        <v>236</v>
      </c>
      <c r="L2" s="3">
        <f>ROUNDDOWN(Dados!$B$1+(K2-(K2*Dados!$B$3)),0)</f>
        <v>241</v>
      </c>
      <c r="M2" s="3">
        <f>ROUNDDOWN(Dados!$B$1+(L2-(L2*Dados!$B$3)),0)</f>
        <v>246</v>
      </c>
      <c r="N2" s="3">
        <f>M2</f>
        <v>246</v>
      </c>
    </row>
    <row r="3" spans="1:14" ht="6" customHeight="1" x14ac:dyDescent="0.3"/>
    <row r="4" spans="1:14" ht="27" customHeight="1" x14ac:dyDescent="0.3">
      <c r="A4" s="4" t="s">
        <v>2</v>
      </c>
      <c r="B4" s="5">
        <f t="shared" ref="B4:M4" si="0">ROUND(B5+B6,2)</f>
        <v>157130.4</v>
      </c>
      <c r="C4" s="5">
        <f t="shared" si="0"/>
        <v>162145.20000000001</v>
      </c>
      <c r="D4" s="5">
        <f t="shared" si="0"/>
        <v>167160</v>
      </c>
      <c r="E4" s="5">
        <f t="shared" si="0"/>
        <v>172174.8</v>
      </c>
      <c r="F4" s="5">
        <f t="shared" si="0"/>
        <v>176353.8</v>
      </c>
      <c r="G4" s="5">
        <f t="shared" si="0"/>
        <v>180532.8</v>
      </c>
      <c r="H4" s="5">
        <f t="shared" si="0"/>
        <v>184711.8</v>
      </c>
      <c r="I4" s="5">
        <f t="shared" si="0"/>
        <v>188890.8</v>
      </c>
      <c r="J4" s="5">
        <f t="shared" si="0"/>
        <v>193069.8</v>
      </c>
      <c r="K4" s="5">
        <f t="shared" si="0"/>
        <v>197248.8</v>
      </c>
      <c r="L4" s="5">
        <f t="shared" si="0"/>
        <v>201427.8</v>
      </c>
      <c r="M4" s="5">
        <f t="shared" si="0"/>
        <v>205606.8</v>
      </c>
      <c r="N4" s="5">
        <f t="shared" ref="N4:N9" si="1">ROUND(SUM(B4:M4),2)</f>
        <v>2186452.7999999998</v>
      </c>
    </row>
    <row r="5" spans="1:14" ht="14.4" x14ac:dyDescent="0.3">
      <c r="A5" s="6" t="s">
        <v>3</v>
      </c>
      <c r="B5" s="7">
        <f>ROUND(B2*Dados!$B$5,0)</f>
        <v>112236</v>
      </c>
      <c r="C5" s="7">
        <f>ROUND(C2*Dados!$B$5,0)</f>
        <v>115818</v>
      </c>
      <c r="D5" s="7">
        <f>ROUND(D2*Dados!$B$5,0)</f>
        <v>119400</v>
      </c>
      <c r="E5" s="7">
        <f>ROUND(E2*Dados!$B$5,0)</f>
        <v>122982</v>
      </c>
      <c r="F5" s="7">
        <f>ROUND(F2*Dados!$B$5,0)</f>
        <v>125967</v>
      </c>
      <c r="G5" s="7">
        <f>ROUND(G2*Dados!$B$5,0)</f>
        <v>128952</v>
      </c>
      <c r="H5" s="7">
        <f>ROUND(H2*Dados!$B$5,0)</f>
        <v>131937</v>
      </c>
      <c r="I5" s="7">
        <f>ROUND(I2*Dados!$B$5,0)</f>
        <v>134922</v>
      </c>
      <c r="J5" s="7">
        <f>ROUND(J2*Dados!$B$5,0)</f>
        <v>137907</v>
      </c>
      <c r="K5" s="7">
        <f>ROUND(K2*Dados!$B$5,0)</f>
        <v>140892</v>
      </c>
      <c r="L5" s="7">
        <f>ROUND(L2*Dados!$B$5,0)</f>
        <v>143877</v>
      </c>
      <c r="M5" s="7">
        <f>ROUND(M2*Dados!$B$5,0)</f>
        <v>146862</v>
      </c>
      <c r="N5" s="7">
        <f t="shared" si="1"/>
        <v>1561752</v>
      </c>
    </row>
    <row r="6" spans="1:14" ht="27.6" x14ac:dyDescent="0.3">
      <c r="A6" s="6" t="s">
        <v>4</v>
      </c>
      <c r="B6" s="7">
        <f>IF(Dados!$B$9&gt;0,Dados!$B$9*B2,ROUND(B2*(Dados!$B$11*Dados!$B$7),2))</f>
        <v>44894.400000000001</v>
      </c>
      <c r="C6" s="7">
        <f>IF(Dados!$B$9&gt;0,Dados!$B$9*C2,ROUND(C2*(Dados!$B$11*Dados!$B$7),2))</f>
        <v>46327.199999999997</v>
      </c>
      <c r="D6" s="7">
        <f>IF(Dados!$B$9&gt;0,Dados!$B$9*D2,ROUND(D2*(Dados!$B$11*Dados!$B$7),2))</f>
        <v>47760</v>
      </c>
      <c r="E6" s="7">
        <f>IF(Dados!$B$9&gt;0,Dados!$B$9*E2,ROUND(E2*(Dados!$B$11*Dados!$B$7),2))</f>
        <v>49192.800000000003</v>
      </c>
      <c r="F6" s="7">
        <f>IF(Dados!$B$9&gt;0,Dados!$B$9*F2,ROUND(F2*(Dados!$B$11*Dados!$B$7),2))</f>
        <v>50386.8</v>
      </c>
      <c r="G6" s="7">
        <f>IF(Dados!$B$9&gt;0,Dados!$B$9*G2,ROUND(G2*(Dados!$B$11*Dados!$B$7),2))</f>
        <v>51580.800000000003</v>
      </c>
      <c r="H6" s="7">
        <f>IF(Dados!$B$9&gt;0,Dados!$B$9*H2,ROUND(H2*(Dados!$B$11*Dados!$B$7),2))</f>
        <v>52774.8</v>
      </c>
      <c r="I6" s="7">
        <f>IF(Dados!$B$9&gt;0,Dados!$B$9*I2,ROUND(I2*(Dados!$B$11*Dados!$B$7),2))</f>
        <v>53968.800000000003</v>
      </c>
      <c r="J6" s="7">
        <f>IF(Dados!$B$9&gt;0,Dados!$B$9*J2,ROUND(J2*(Dados!$B$11*Dados!$B$7),2))</f>
        <v>55162.8</v>
      </c>
      <c r="K6" s="7">
        <f>IF(Dados!$B$9&gt;0,Dados!$B$9*K2,ROUND(K2*(Dados!$B$11*Dados!$B$7),2))</f>
        <v>56356.800000000003</v>
      </c>
      <c r="L6" s="7">
        <f>IF(Dados!$B$9&gt;0,Dados!$B$9*L2,ROUND(L2*(Dados!$B$11*Dados!$B$7),2))</f>
        <v>57550.8</v>
      </c>
      <c r="M6" s="7">
        <f>IF(Dados!$B$9&gt;0,Dados!$B$9*M2,ROUND(M2*(Dados!$B$11*Dados!$B$7),2))</f>
        <v>58744.800000000003</v>
      </c>
      <c r="N6" s="7">
        <f t="shared" si="1"/>
        <v>624700.80000000005</v>
      </c>
    </row>
    <row r="7" spans="1:14" ht="14.4" x14ac:dyDescent="0.3">
      <c r="A7" s="8" t="s">
        <v>5</v>
      </c>
      <c r="B7" s="9">
        <f>B4*Dados!$E$2</f>
        <v>25140.864000000001</v>
      </c>
      <c r="C7" s="9">
        <f>C4*Dados!$E$2</f>
        <v>25943.232000000004</v>
      </c>
      <c r="D7" s="9">
        <f>D4*Dados!$E$2</f>
        <v>26745.600000000002</v>
      </c>
      <c r="E7" s="9">
        <f>E4*Dados!$E$2</f>
        <v>27547.967999999997</v>
      </c>
      <c r="F7" s="9">
        <f>F4*Dados!$E$2</f>
        <v>28216.608</v>
      </c>
      <c r="G7" s="9">
        <f>G4*Dados!$E$2</f>
        <v>28885.248</v>
      </c>
      <c r="H7" s="9">
        <f>H4*Dados!$E$2</f>
        <v>29553.887999999999</v>
      </c>
      <c r="I7" s="9">
        <f>I4*Dados!$E$2</f>
        <v>30222.527999999998</v>
      </c>
      <c r="J7" s="9">
        <f>J4*Dados!$E$2</f>
        <v>30891.167999999998</v>
      </c>
      <c r="K7" s="9">
        <f>K4*Dados!$E$2</f>
        <v>31559.807999999997</v>
      </c>
      <c r="L7" s="9">
        <f>L4*Dados!$E$2</f>
        <v>32228.448</v>
      </c>
      <c r="M7" s="9">
        <f>M4*Dados!$E$2</f>
        <v>32897.087999999996</v>
      </c>
      <c r="N7" s="10">
        <f t="shared" si="1"/>
        <v>349832.45</v>
      </c>
    </row>
    <row r="8" spans="1:14" ht="21" customHeight="1" x14ac:dyDescent="0.3">
      <c r="A8" s="11" t="s">
        <v>6</v>
      </c>
      <c r="B8" s="12">
        <f t="shared" ref="B8:M8" si="2">B4-B7</f>
        <v>131989.53599999999</v>
      </c>
      <c r="C8" s="12">
        <f t="shared" si="2"/>
        <v>136201.96799999999</v>
      </c>
      <c r="D8" s="12">
        <f t="shared" si="2"/>
        <v>140414.39999999999</v>
      </c>
      <c r="E8" s="12">
        <f t="shared" si="2"/>
        <v>144626.83199999999</v>
      </c>
      <c r="F8" s="12">
        <f t="shared" si="2"/>
        <v>148137.19199999998</v>
      </c>
      <c r="G8" s="12">
        <f t="shared" si="2"/>
        <v>151647.552</v>
      </c>
      <c r="H8" s="12">
        <f t="shared" si="2"/>
        <v>155157.91199999998</v>
      </c>
      <c r="I8" s="12">
        <f t="shared" si="2"/>
        <v>158668.272</v>
      </c>
      <c r="J8" s="12">
        <f t="shared" si="2"/>
        <v>162178.63199999998</v>
      </c>
      <c r="K8" s="12">
        <f t="shared" si="2"/>
        <v>165688.992</v>
      </c>
      <c r="L8" s="12">
        <f t="shared" si="2"/>
        <v>169199.35199999998</v>
      </c>
      <c r="M8" s="12">
        <f t="shared" si="2"/>
        <v>172709.712</v>
      </c>
      <c r="N8" s="12">
        <f t="shared" si="1"/>
        <v>1836620.35</v>
      </c>
    </row>
    <row r="9" spans="1:14" ht="21" customHeight="1" x14ac:dyDescent="0.3">
      <c r="A9" s="11" t="s">
        <v>38</v>
      </c>
      <c r="B9" s="12">
        <f t="shared" ref="B9:M9" si="3">ROUND(B8-B14-B15-B16-B17-B18,2)</f>
        <v>79377.740000000005</v>
      </c>
      <c r="C9" s="12">
        <f t="shared" si="3"/>
        <v>81911.070000000007</v>
      </c>
      <c r="D9" s="12">
        <f t="shared" si="3"/>
        <v>84444.4</v>
      </c>
      <c r="E9" s="12">
        <f t="shared" si="3"/>
        <v>86977.73</v>
      </c>
      <c r="F9" s="12">
        <f t="shared" si="3"/>
        <v>89088.84</v>
      </c>
      <c r="G9" s="12">
        <f t="shared" si="3"/>
        <v>91199.95</v>
      </c>
      <c r="H9" s="12">
        <f t="shared" si="3"/>
        <v>93311.06</v>
      </c>
      <c r="I9" s="12">
        <f t="shared" si="3"/>
        <v>95422.17</v>
      </c>
      <c r="J9" s="12">
        <f t="shared" si="3"/>
        <v>97533.28</v>
      </c>
      <c r="K9" s="12">
        <f t="shared" si="3"/>
        <v>99644.39</v>
      </c>
      <c r="L9" s="12">
        <f t="shared" si="3"/>
        <v>101755.5</v>
      </c>
      <c r="M9" s="12">
        <f t="shared" si="3"/>
        <v>103866.61</v>
      </c>
      <c r="N9" s="12">
        <f t="shared" si="1"/>
        <v>1104532.74</v>
      </c>
    </row>
    <row r="10" spans="1:14" ht="14.4" x14ac:dyDescent="0.3">
      <c r="A10" s="6" t="s">
        <v>8</v>
      </c>
      <c r="B10" s="13">
        <f t="shared" ref="B10:N10" si="4">IFERROR(ROUND(B9/B4,2),0)</f>
        <v>0.51</v>
      </c>
      <c r="C10" s="13">
        <f t="shared" si="4"/>
        <v>0.51</v>
      </c>
      <c r="D10" s="13">
        <f t="shared" si="4"/>
        <v>0.51</v>
      </c>
      <c r="E10" s="13">
        <f t="shared" si="4"/>
        <v>0.51</v>
      </c>
      <c r="F10" s="13">
        <f t="shared" si="4"/>
        <v>0.51</v>
      </c>
      <c r="G10" s="13">
        <f t="shared" si="4"/>
        <v>0.51</v>
      </c>
      <c r="H10" s="13">
        <f t="shared" si="4"/>
        <v>0.51</v>
      </c>
      <c r="I10" s="13">
        <f t="shared" si="4"/>
        <v>0.51</v>
      </c>
      <c r="J10" s="13">
        <f t="shared" si="4"/>
        <v>0.51</v>
      </c>
      <c r="K10" s="13">
        <f t="shared" si="4"/>
        <v>0.51</v>
      </c>
      <c r="L10" s="13">
        <f t="shared" si="4"/>
        <v>0.51</v>
      </c>
      <c r="M10" s="13">
        <f t="shared" si="4"/>
        <v>0.51</v>
      </c>
      <c r="N10" s="13">
        <f t="shared" si="4"/>
        <v>0.51</v>
      </c>
    </row>
    <row r="11" spans="1:14" ht="6" customHeight="1" x14ac:dyDescent="0.3"/>
    <row r="12" spans="1:14" ht="27" customHeight="1" x14ac:dyDescent="0.3">
      <c r="A12" s="14" t="s">
        <v>9</v>
      </c>
      <c r="B12" s="15">
        <f t="shared" ref="B12:M12" si="5">ROUND(SUM(B13,B19),2)</f>
        <v>106789.8</v>
      </c>
      <c r="C12" s="15">
        <f t="shared" si="5"/>
        <v>108468.9</v>
      </c>
      <c r="D12" s="15">
        <f t="shared" si="5"/>
        <v>110148</v>
      </c>
      <c r="E12" s="15">
        <f t="shared" si="5"/>
        <v>111827.1</v>
      </c>
      <c r="F12" s="15">
        <f t="shared" si="5"/>
        <v>113226.35</v>
      </c>
      <c r="G12" s="15">
        <f t="shared" si="5"/>
        <v>114625.60000000001</v>
      </c>
      <c r="H12" s="15">
        <f t="shared" si="5"/>
        <v>116024.85</v>
      </c>
      <c r="I12" s="15">
        <f t="shared" si="5"/>
        <v>117424.1</v>
      </c>
      <c r="J12" s="15">
        <f t="shared" si="5"/>
        <v>118823.35</v>
      </c>
      <c r="K12" s="15">
        <f t="shared" si="5"/>
        <v>120222.6</v>
      </c>
      <c r="L12" s="15">
        <f t="shared" si="5"/>
        <v>121621.85</v>
      </c>
      <c r="M12" s="15">
        <f t="shared" si="5"/>
        <v>123021.1</v>
      </c>
      <c r="N12" s="15">
        <f t="shared" ref="N12:N40" si="6">ROUND(SUM(B12:M12),2)</f>
        <v>1382223.6</v>
      </c>
    </row>
    <row r="13" spans="1:14" ht="21" customHeight="1" x14ac:dyDescent="0.3">
      <c r="A13" s="16" t="s">
        <v>10</v>
      </c>
      <c r="B13" s="17">
        <f t="shared" ref="B13:M13" si="7">B14+B15+B16+B17+B18</f>
        <v>52611.8</v>
      </c>
      <c r="C13" s="17">
        <f t="shared" si="7"/>
        <v>54290.9</v>
      </c>
      <c r="D13" s="17">
        <f t="shared" si="7"/>
        <v>55970</v>
      </c>
      <c r="E13" s="17">
        <f t="shared" si="7"/>
        <v>57649.1</v>
      </c>
      <c r="F13" s="17">
        <f t="shared" si="7"/>
        <v>59048.35</v>
      </c>
      <c r="G13" s="17">
        <f t="shared" si="7"/>
        <v>60447.6</v>
      </c>
      <c r="H13" s="17">
        <f t="shared" si="7"/>
        <v>61846.85</v>
      </c>
      <c r="I13" s="17">
        <f t="shared" si="7"/>
        <v>63246.1</v>
      </c>
      <c r="J13" s="17">
        <f t="shared" si="7"/>
        <v>64645.35</v>
      </c>
      <c r="K13" s="17">
        <f t="shared" si="7"/>
        <v>66044.600000000006</v>
      </c>
      <c r="L13" s="17">
        <f t="shared" si="7"/>
        <v>67443.850000000006</v>
      </c>
      <c r="M13" s="17">
        <f t="shared" si="7"/>
        <v>68843.100000000006</v>
      </c>
      <c r="N13" s="18">
        <f t="shared" si="6"/>
        <v>732087.6</v>
      </c>
    </row>
    <row r="14" spans="1:14" ht="14.4" x14ac:dyDescent="0.3">
      <c r="A14" s="8" t="s">
        <v>11</v>
      </c>
      <c r="B14" s="10">
        <f>B5*Dados!$E$1</f>
        <v>5611.8</v>
      </c>
      <c r="C14" s="10">
        <f>C5*Dados!$E$1</f>
        <v>5790.9000000000005</v>
      </c>
      <c r="D14" s="10">
        <f>D5*Dados!$E$1</f>
        <v>5970</v>
      </c>
      <c r="E14" s="10">
        <f>E5*Dados!$E$1</f>
        <v>6149.1</v>
      </c>
      <c r="F14" s="10">
        <f>F5*Dados!$E$1</f>
        <v>6298.35</v>
      </c>
      <c r="G14" s="10">
        <f>G5*Dados!$E$1</f>
        <v>6447.6</v>
      </c>
      <c r="H14" s="10">
        <f>H5*Dados!$E$1</f>
        <v>6596.85</v>
      </c>
      <c r="I14" s="10">
        <f>I5*Dados!$E$1</f>
        <v>6746.1</v>
      </c>
      <c r="J14" s="10">
        <f>J5*Dados!$E$1</f>
        <v>6895.35</v>
      </c>
      <c r="K14" s="10">
        <f>K5*Dados!$E$1</f>
        <v>7044.6</v>
      </c>
      <c r="L14" s="10">
        <f>L5*Dados!$E$1</f>
        <v>7193.85</v>
      </c>
      <c r="M14" s="10">
        <f>M5*Dados!$E$1</f>
        <v>7343.1</v>
      </c>
      <c r="N14" s="10">
        <f t="shared" si="6"/>
        <v>78087.600000000006</v>
      </c>
    </row>
    <row r="15" spans="1:14" ht="14.4" x14ac:dyDescent="0.3">
      <c r="A15" s="19" t="s">
        <v>12</v>
      </c>
      <c r="B15" s="10">
        <f t="shared" ref="B15:M15" si="8">10*B2</f>
        <v>1880</v>
      </c>
      <c r="C15" s="10">
        <f t="shared" si="8"/>
        <v>1940</v>
      </c>
      <c r="D15" s="10">
        <f t="shared" si="8"/>
        <v>2000</v>
      </c>
      <c r="E15" s="10">
        <f t="shared" si="8"/>
        <v>2060</v>
      </c>
      <c r="F15" s="10">
        <f t="shared" si="8"/>
        <v>2110</v>
      </c>
      <c r="G15" s="10">
        <f t="shared" si="8"/>
        <v>2160</v>
      </c>
      <c r="H15" s="10">
        <f t="shared" si="8"/>
        <v>2210</v>
      </c>
      <c r="I15" s="10">
        <f t="shared" si="8"/>
        <v>2260</v>
      </c>
      <c r="J15" s="10">
        <f t="shared" si="8"/>
        <v>2310</v>
      </c>
      <c r="K15" s="10">
        <f t="shared" si="8"/>
        <v>2360</v>
      </c>
      <c r="L15" s="10">
        <f t="shared" si="8"/>
        <v>2410</v>
      </c>
      <c r="M15" s="10">
        <f t="shared" si="8"/>
        <v>2460</v>
      </c>
      <c r="N15" s="10">
        <f t="shared" si="6"/>
        <v>26160</v>
      </c>
    </row>
    <row r="16" spans="1:14" ht="14.4" x14ac:dyDescent="0.3">
      <c r="A16" s="19" t="s">
        <v>13</v>
      </c>
      <c r="B16" s="10">
        <f t="shared" ref="B16:M16" si="9">200*B2</f>
        <v>37600</v>
      </c>
      <c r="C16" s="10">
        <f t="shared" si="9"/>
        <v>38800</v>
      </c>
      <c r="D16" s="10">
        <f t="shared" si="9"/>
        <v>40000</v>
      </c>
      <c r="E16" s="10">
        <f t="shared" si="9"/>
        <v>41200</v>
      </c>
      <c r="F16" s="10">
        <f t="shared" si="9"/>
        <v>42200</v>
      </c>
      <c r="G16" s="10">
        <f t="shared" si="9"/>
        <v>43200</v>
      </c>
      <c r="H16" s="10">
        <f t="shared" si="9"/>
        <v>44200</v>
      </c>
      <c r="I16" s="10">
        <f t="shared" si="9"/>
        <v>45200</v>
      </c>
      <c r="J16" s="10">
        <f t="shared" si="9"/>
        <v>46200</v>
      </c>
      <c r="K16" s="10">
        <f t="shared" si="9"/>
        <v>47200</v>
      </c>
      <c r="L16" s="10">
        <f t="shared" si="9"/>
        <v>48200</v>
      </c>
      <c r="M16" s="10">
        <f t="shared" si="9"/>
        <v>49200</v>
      </c>
      <c r="N16" s="10">
        <f t="shared" si="6"/>
        <v>523200</v>
      </c>
    </row>
    <row r="17" spans="1:14" ht="14.4" x14ac:dyDescent="0.3">
      <c r="A17" s="19" t="s">
        <v>14</v>
      </c>
      <c r="B17" s="10">
        <f t="shared" ref="B17:M17" si="10">10*B2</f>
        <v>1880</v>
      </c>
      <c r="C17" s="10">
        <f t="shared" si="10"/>
        <v>1940</v>
      </c>
      <c r="D17" s="10">
        <f t="shared" si="10"/>
        <v>2000</v>
      </c>
      <c r="E17" s="10">
        <f t="shared" si="10"/>
        <v>2060</v>
      </c>
      <c r="F17" s="10">
        <f t="shared" si="10"/>
        <v>2110</v>
      </c>
      <c r="G17" s="10">
        <f t="shared" si="10"/>
        <v>2160</v>
      </c>
      <c r="H17" s="10">
        <f t="shared" si="10"/>
        <v>2210</v>
      </c>
      <c r="I17" s="10">
        <f t="shared" si="10"/>
        <v>2260</v>
      </c>
      <c r="J17" s="10">
        <f t="shared" si="10"/>
        <v>2310</v>
      </c>
      <c r="K17" s="10">
        <f t="shared" si="10"/>
        <v>2360</v>
      </c>
      <c r="L17" s="10">
        <f t="shared" si="10"/>
        <v>2410</v>
      </c>
      <c r="M17" s="10">
        <f t="shared" si="10"/>
        <v>2460</v>
      </c>
      <c r="N17" s="10">
        <f t="shared" si="6"/>
        <v>26160</v>
      </c>
    </row>
    <row r="18" spans="1:14" ht="14.4" x14ac:dyDescent="0.3">
      <c r="A18" s="19" t="s">
        <v>15</v>
      </c>
      <c r="B18" s="10">
        <f t="shared" ref="B18:M18" si="11">30*B2</f>
        <v>5640</v>
      </c>
      <c r="C18" s="10">
        <f t="shared" si="11"/>
        <v>5820</v>
      </c>
      <c r="D18" s="10">
        <f t="shared" si="11"/>
        <v>6000</v>
      </c>
      <c r="E18" s="10">
        <f t="shared" si="11"/>
        <v>6180</v>
      </c>
      <c r="F18" s="10">
        <f t="shared" si="11"/>
        <v>6330</v>
      </c>
      <c r="G18" s="10">
        <f t="shared" si="11"/>
        <v>6480</v>
      </c>
      <c r="H18" s="10">
        <f t="shared" si="11"/>
        <v>6630</v>
      </c>
      <c r="I18" s="10">
        <f t="shared" si="11"/>
        <v>6780</v>
      </c>
      <c r="J18" s="10">
        <f t="shared" si="11"/>
        <v>6930</v>
      </c>
      <c r="K18" s="10">
        <f t="shared" si="11"/>
        <v>7080</v>
      </c>
      <c r="L18" s="10">
        <f t="shared" si="11"/>
        <v>7230</v>
      </c>
      <c r="M18" s="10">
        <f t="shared" si="11"/>
        <v>7380</v>
      </c>
      <c r="N18" s="10">
        <f t="shared" si="6"/>
        <v>78480</v>
      </c>
    </row>
    <row r="19" spans="1:14" ht="21" customHeight="1" x14ac:dyDescent="0.3">
      <c r="A19" s="16" t="s">
        <v>16</v>
      </c>
      <c r="B19" s="17">
        <f t="shared" ref="B19:M19" si="12">SUM(B20:B40)</f>
        <v>54178</v>
      </c>
      <c r="C19" s="17">
        <f t="shared" si="12"/>
        <v>54178</v>
      </c>
      <c r="D19" s="17">
        <f t="shared" si="12"/>
        <v>54178</v>
      </c>
      <c r="E19" s="17">
        <f t="shared" si="12"/>
        <v>54178</v>
      </c>
      <c r="F19" s="17">
        <f t="shared" si="12"/>
        <v>54178</v>
      </c>
      <c r="G19" s="17">
        <f t="shared" si="12"/>
        <v>54178</v>
      </c>
      <c r="H19" s="17">
        <f t="shared" si="12"/>
        <v>54178</v>
      </c>
      <c r="I19" s="17">
        <f t="shared" si="12"/>
        <v>54178</v>
      </c>
      <c r="J19" s="17">
        <f t="shared" si="12"/>
        <v>54178</v>
      </c>
      <c r="K19" s="17">
        <f t="shared" si="12"/>
        <v>54178</v>
      </c>
      <c r="L19" s="17">
        <f t="shared" si="12"/>
        <v>54178</v>
      </c>
      <c r="M19" s="17">
        <f t="shared" si="12"/>
        <v>54178</v>
      </c>
      <c r="N19" s="18">
        <f t="shared" si="6"/>
        <v>650136</v>
      </c>
    </row>
    <row r="20" spans="1:14" ht="14.4" x14ac:dyDescent="0.3">
      <c r="A20" s="19" t="s">
        <v>17</v>
      </c>
      <c r="B20" s="9">
        <v>8880</v>
      </c>
      <c r="C20" s="9">
        <v>8880</v>
      </c>
      <c r="D20" s="9">
        <v>8880</v>
      </c>
      <c r="E20" s="9">
        <v>8880</v>
      </c>
      <c r="F20" s="9">
        <v>8880</v>
      </c>
      <c r="G20" s="9">
        <v>8880</v>
      </c>
      <c r="H20" s="9">
        <v>8880</v>
      </c>
      <c r="I20" s="9">
        <v>8880</v>
      </c>
      <c r="J20" s="9">
        <v>8880</v>
      </c>
      <c r="K20" s="9">
        <v>8880</v>
      </c>
      <c r="L20" s="9">
        <v>8880</v>
      </c>
      <c r="M20" s="9">
        <v>8880</v>
      </c>
      <c r="N20" s="10">
        <f t="shared" si="6"/>
        <v>106560</v>
      </c>
    </row>
    <row r="21" spans="1:14" ht="14.4" x14ac:dyDescent="0.3">
      <c r="A21" s="19" t="s">
        <v>18</v>
      </c>
      <c r="B21" s="9">
        <v>5550</v>
      </c>
      <c r="C21" s="9">
        <v>5550</v>
      </c>
      <c r="D21" s="9">
        <v>5550</v>
      </c>
      <c r="E21" s="9">
        <v>5550</v>
      </c>
      <c r="F21" s="9">
        <v>5550</v>
      </c>
      <c r="G21" s="9">
        <v>5550</v>
      </c>
      <c r="H21" s="9">
        <v>5550</v>
      </c>
      <c r="I21" s="9">
        <v>5550</v>
      </c>
      <c r="J21" s="9">
        <v>5550</v>
      </c>
      <c r="K21" s="9">
        <v>5550</v>
      </c>
      <c r="L21" s="9">
        <v>5550</v>
      </c>
      <c r="M21" s="9">
        <v>5550</v>
      </c>
      <c r="N21" s="10">
        <f t="shared" si="6"/>
        <v>66600</v>
      </c>
    </row>
    <row r="22" spans="1:14" ht="14.4" x14ac:dyDescent="0.3">
      <c r="A22" s="19" t="s">
        <v>18</v>
      </c>
      <c r="B22" s="9">
        <v>5550</v>
      </c>
      <c r="C22" s="9">
        <v>5550</v>
      </c>
      <c r="D22" s="9">
        <v>5550</v>
      </c>
      <c r="E22" s="9">
        <v>5550</v>
      </c>
      <c r="F22" s="9">
        <v>5550</v>
      </c>
      <c r="G22" s="9">
        <v>5550</v>
      </c>
      <c r="H22" s="9">
        <v>5550</v>
      </c>
      <c r="I22" s="9">
        <v>5550</v>
      </c>
      <c r="J22" s="9">
        <v>5550</v>
      </c>
      <c r="K22" s="9">
        <v>5550</v>
      </c>
      <c r="L22" s="9">
        <v>5550</v>
      </c>
      <c r="M22" s="9">
        <v>5550</v>
      </c>
      <c r="N22" s="10">
        <f t="shared" si="6"/>
        <v>66600</v>
      </c>
    </row>
    <row r="23" spans="1:14" ht="14.4" x14ac:dyDescent="0.3">
      <c r="A23" s="19" t="s">
        <v>18</v>
      </c>
      <c r="B23" s="9">
        <v>5550</v>
      </c>
      <c r="C23" s="9">
        <v>5550</v>
      </c>
      <c r="D23" s="9">
        <v>5550</v>
      </c>
      <c r="E23" s="9">
        <v>5550</v>
      </c>
      <c r="F23" s="9">
        <v>5550</v>
      </c>
      <c r="G23" s="9">
        <v>5550</v>
      </c>
      <c r="H23" s="9">
        <v>5550</v>
      </c>
      <c r="I23" s="9">
        <v>5550</v>
      </c>
      <c r="J23" s="9">
        <v>5550</v>
      </c>
      <c r="K23" s="9">
        <v>5550</v>
      </c>
      <c r="L23" s="9">
        <v>5550</v>
      </c>
      <c r="M23" s="9">
        <v>5550</v>
      </c>
      <c r="N23" s="10">
        <f t="shared" si="6"/>
        <v>66600</v>
      </c>
    </row>
    <row r="24" spans="1:14" ht="14.4" x14ac:dyDescent="0.3">
      <c r="A24" s="8" t="s">
        <v>19</v>
      </c>
      <c r="B24" s="9">
        <f>Dados!$E$4*Dados!$F$4</f>
        <v>1000</v>
      </c>
      <c r="C24" s="9">
        <f>Dados!$E$4*Dados!$F$4</f>
        <v>1000</v>
      </c>
      <c r="D24" s="9">
        <f>Dados!$E$4*Dados!$F$4</f>
        <v>1000</v>
      </c>
      <c r="E24" s="9">
        <f>Dados!$E$4*Dados!$F$4</f>
        <v>1000</v>
      </c>
      <c r="F24" s="9">
        <f>Dados!$E$4*Dados!$F$4</f>
        <v>1000</v>
      </c>
      <c r="G24" s="9">
        <f>Dados!$E$4*Dados!$F$4</f>
        <v>1000</v>
      </c>
      <c r="H24" s="9">
        <f>Dados!$E$4*Dados!$F$4</f>
        <v>1000</v>
      </c>
      <c r="I24" s="9">
        <f>Dados!$E$4*Dados!$F$4</f>
        <v>1000</v>
      </c>
      <c r="J24" s="9">
        <f>Dados!$E$4*Dados!$F$4</f>
        <v>1000</v>
      </c>
      <c r="K24" s="9">
        <f>Dados!$E$4*Dados!$F$4</f>
        <v>1000</v>
      </c>
      <c r="L24" s="9">
        <f>Dados!$E$4*Dados!$F$4</f>
        <v>1000</v>
      </c>
      <c r="M24" s="9">
        <f>Dados!$E$4*Dados!$F$4</f>
        <v>1000</v>
      </c>
      <c r="N24" s="10">
        <f t="shared" si="6"/>
        <v>12000</v>
      </c>
    </row>
    <row r="25" spans="1:14" ht="14.4" x14ac:dyDescent="0.3">
      <c r="A25" s="8" t="s">
        <v>20</v>
      </c>
      <c r="B25" s="9">
        <f>Dados!$E$5*Dados!$F$5</f>
        <v>2000</v>
      </c>
      <c r="C25" s="9">
        <f>Dados!$E$5*Dados!$F$5</f>
        <v>2000</v>
      </c>
      <c r="D25" s="9">
        <f>Dados!$E$5*Dados!$F$5</f>
        <v>2000</v>
      </c>
      <c r="E25" s="9">
        <f>Dados!$E$5*Dados!$F$5</f>
        <v>2000</v>
      </c>
      <c r="F25" s="9">
        <f>Dados!$E$5*Dados!$F$5</f>
        <v>2000</v>
      </c>
      <c r="G25" s="9">
        <f>Dados!$E$5*Dados!$F$5</f>
        <v>2000</v>
      </c>
      <c r="H25" s="9">
        <f>Dados!$E$5*Dados!$F$5</f>
        <v>2000</v>
      </c>
      <c r="I25" s="9">
        <f>Dados!$E$5*Dados!$F$5</f>
        <v>2000</v>
      </c>
      <c r="J25" s="9">
        <f>Dados!$E$5*Dados!$F$5</f>
        <v>2000</v>
      </c>
      <c r="K25" s="9">
        <f>Dados!$E$5*Dados!$F$5</f>
        <v>2000</v>
      </c>
      <c r="L25" s="9">
        <f>Dados!$E$5*Dados!$F$5</f>
        <v>2000</v>
      </c>
      <c r="M25" s="9">
        <f>Dados!$E$5*Dados!$F$5</f>
        <v>2000</v>
      </c>
      <c r="N25" s="10">
        <f t="shared" si="6"/>
        <v>24000</v>
      </c>
    </row>
    <row r="26" spans="1:14" ht="14.4" x14ac:dyDescent="0.3">
      <c r="A26" s="8" t="s">
        <v>21</v>
      </c>
      <c r="B26" s="9">
        <f>Dados!$E$6*Dados!$F$6</f>
        <v>2000</v>
      </c>
      <c r="C26" s="9">
        <f>Dados!$E$6*Dados!$F$6</f>
        <v>2000</v>
      </c>
      <c r="D26" s="9">
        <f>Dados!$E$6*Dados!$F$6</f>
        <v>2000</v>
      </c>
      <c r="E26" s="9">
        <f>Dados!$E$6*Dados!$F$6</f>
        <v>2000</v>
      </c>
      <c r="F26" s="9">
        <f>Dados!$E$6*Dados!$F$6</f>
        <v>2000</v>
      </c>
      <c r="G26" s="9">
        <f>Dados!$E$6*Dados!$F$6</f>
        <v>2000</v>
      </c>
      <c r="H26" s="9">
        <f>Dados!$E$6*Dados!$F$6</f>
        <v>2000</v>
      </c>
      <c r="I26" s="9">
        <f>Dados!$E$6*Dados!$F$6</f>
        <v>2000</v>
      </c>
      <c r="J26" s="9">
        <f>Dados!$E$6*Dados!$F$6</f>
        <v>2000</v>
      </c>
      <c r="K26" s="9">
        <f>Dados!$E$6*Dados!$F$6</f>
        <v>2000</v>
      </c>
      <c r="L26" s="9">
        <f>Dados!$E$6*Dados!$F$6</f>
        <v>2000</v>
      </c>
      <c r="M26" s="9">
        <f>Dados!$E$6*Dados!$F$6</f>
        <v>2000</v>
      </c>
      <c r="N26" s="10">
        <f t="shared" si="6"/>
        <v>24000</v>
      </c>
    </row>
    <row r="27" spans="1:14" ht="14.4" x14ac:dyDescent="0.3">
      <c r="A27" s="8" t="s">
        <v>22</v>
      </c>
      <c r="B27" s="9">
        <f>Dados!$E$7*Dados!$F$7</f>
        <v>2000</v>
      </c>
      <c r="C27" s="9">
        <f>Dados!$E$7*Dados!$F$7</f>
        <v>2000</v>
      </c>
      <c r="D27" s="9">
        <f>Dados!$E$7*Dados!$F$7</f>
        <v>2000</v>
      </c>
      <c r="E27" s="9">
        <f>Dados!$E$7*Dados!$F$7</f>
        <v>2000</v>
      </c>
      <c r="F27" s="9">
        <f>Dados!$E$7*Dados!$F$7</f>
        <v>2000</v>
      </c>
      <c r="G27" s="9">
        <f>Dados!$E$7*Dados!$F$7</f>
        <v>2000</v>
      </c>
      <c r="H27" s="9">
        <f>Dados!$E$7*Dados!$F$7</f>
        <v>2000</v>
      </c>
      <c r="I27" s="9">
        <f>Dados!$E$7*Dados!$F$7</f>
        <v>2000</v>
      </c>
      <c r="J27" s="9">
        <f>Dados!$E$7*Dados!$F$7</f>
        <v>2000</v>
      </c>
      <c r="K27" s="9">
        <f>Dados!$E$7*Dados!$F$7</f>
        <v>2000</v>
      </c>
      <c r="L27" s="9">
        <f>Dados!$E$7*Dados!$F$7</f>
        <v>2000</v>
      </c>
      <c r="M27" s="9">
        <f>Dados!$E$7*Dados!$F$7</f>
        <v>2000</v>
      </c>
      <c r="N27" s="10">
        <f t="shared" si="6"/>
        <v>24000</v>
      </c>
    </row>
    <row r="28" spans="1:14" ht="14.4" x14ac:dyDescent="0.3">
      <c r="A28" s="8" t="s">
        <v>23</v>
      </c>
      <c r="B28" s="9">
        <f>Dados!$E$8*Dados!$F$8</f>
        <v>3000</v>
      </c>
      <c r="C28" s="9">
        <f>Dados!$E$8*Dados!$F$8</f>
        <v>3000</v>
      </c>
      <c r="D28" s="9">
        <f>Dados!$E$8*Dados!$F$8</f>
        <v>3000</v>
      </c>
      <c r="E28" s="9">
        <f>Dados!$E$8*Dados!$F$8</f>
        <v>3000</v>
      </c>
      <c r="F28" s="9">
        <f>Dados!$E$8*Dados!$F$8</f>
        <v>3000</v>
      </c>
      <c r="G28" s="9">
        <f>Dados!$E$8*Dados!$F$8</f>
        <v>3000</v>
      </c>
      <c r="H28" s="9">
        <f>Dados!$E$8*Dados!$F$8</f>
        <v>3000</v>
      </c>
      <c r="I28" s="9">
        <f>Dados!$E$8*Dados!$F$8</f>
        <v>3000</v>
      </c>
      <c r="J28" s="9">
        <f>Dados!$E$8*Dados!$F$8</f>
        <v>3000</v>
      </c>
      <c r="K28" s="9">
        <f>Dados!$E$8*Dados!$F$8</f>
        <v>3000</v>
      </c>
      <c r="L28" s="9">
        <f>Dados!$E$8*Dados!$F$8</f>
        <v>3000</v>
      </c>
      <c r="M28" s="9">
        <f>Dados!$E$8*Dados!$F$8</f>
        <v>3000</v>
      </c>
      <c r="N28" s="10">
        <f t="shared" si="6"/>
        <v>36000</v>
      </c>
    </row>
    <row r="29" spans="1:14" ht="14.4" x14ac:dyDescent="0.3">
      <c r="A29" s="8" t="s">
        <v>24</v>
      </c>
      <c r="B29" s="9">
        <f>Dados!$E$9*Dados!$F$9</f>
        <v>0</v>
      </c>
      <c r="C29" s="9">
        <f>Dados!$E$9*Dados!$F$9</f>
        <v>0</v>
      </c>
      <c r="D29" s="9">
        <f>Dados!$E$9*Dados!$F$9</f>
        <v>0</v>
      </c>
      <c r="E29" s="9">
        <f>Dados!$E$9*Dados!$F$9</f>
        <v>0</v>
      </c>
      <c r="F29" s="9">
        <f>Dados!$E$9*Dados!$F$9</f>
        <v>0</v>
      </c>
      <c r="G29" s="9">
        <f>Dados!$E$9*Dados!$F$9</f>
        <v>0</v>
      </c>
      <c r="H29" s="9">
        <f>Dados!$E$9*Dados!$F$9</f>
        <v>0</v>
      </c>
      <c r="I29" s="9">
        <f>Dados!$E$9*Dados!$F$9</f>
        <v>0</v>
      </c>
      <c r="J29" s="9">
        <f>Dados!$E$9*Dados!$F$9</f>
        <v>0</v>
      </c>
      <c r="K29" s="9">
        <f>Dados!$E$9*Dados!$F$9</f>
        <v>0</v>
      </c>
      <c r="L29" s="9">
        <f>Dados!$E$9*Dados!$F$9</f>
        <v>0</v>
      </c>
      <c r="M29" s="9">
        <f>Dados!$E$9*Dados!$F$9</f>
        <v>0</v>
      </c>
      <c r="N29" s="10">
        <f t="shared" si="6"/>
        <v>0</v>
      </c>
    </row>
    <row r="30" spans="1:14" ht="14.4" x14ac:dyDescent="0.3">
      <c r="A30" s="19" t="s">
        <v>25</v>
      </c>
      <c r="B30" s="9">
        <f>Dados!$E$10*Dados!$F$10</f>
        <v>300</v>
      </c>
      <c r="C30" s="9">
        <f>Dados!$E$10*Dados!$F$10</f>
        <v>300</v>
      </c>
      <c r="D30" s="9">
        <f>Dados!$E$10*Dados!$F$10</f>
        <v>300</v>
      </c>
      <c r="E30" s="9">
        <f>Dados!$E$10*Dados!$F$10</f>
        <v>300</v>
      </c>
      <c r="F30" s="9">
        <f>Dados!$E$10*Dados!$F$10</f>
        <v>300</v>
      </c>
      <c r="G30" s="9">
        <f>Dados!$E$10*Dados!$F$10</f>
        <v>300</v>
      </c>
      <c r="H30" s="9">
        <f>Dados!$E$10*Dados!$F$10</f>
        <v>300</v>
      </c>
      <c r="I30" s="9">
        <f>Dados!$E$10*Dados!$F$10</f>
        <v>300</v>
      </c>
      <c r="J30" s="9">
        <f>Dados!$E$10*Dados!$F$10</f>
        <v>300</v>
      </c>
      <c r="K30" s="9">
        <f>Dados!$E$10*Dados!$F$10</f>
        <v>300</v>
      </c>
      <c r="L30" s="9">
        <f>Dados!$E$10*Dados!$F$10</f>
        <v>300</v>
      </c>
      <c r="M30" s="9">
        <f>Dados!$E$10*Dados!$F$10</f>
        <v>300</v>
      </c>
      <c r="N30" s="10">
        <f t="shared" si="6"/>
        <v>3600</v>
      </c>
    </row>
    <row r="31" spans="1:14" ht="14.4" x14ac:dyDescent="0.3">
      <c r="A31" s="19" t="s">
        <v>26</v>
      </c>
      <c r="B31" s="9">
        <v>500</v>
      </c>
      <c r="C31" s="9">
        <v>500</v>
      </c>
      <c r="D31" s="9">
        <v>500</v>
      </c>
      <c r="E31" s="9">
        <v>500</v>
      </c>
      <c r="F31" s="9">
        <v>500</v>
      </c>
      <c r="G31" s="9">
        <v>500</v>
      </c>
      <c r="H31" s="9">
        <v>500</v>
      </c>
      <c r="I31" s="9">
        <v>500</v>
      </c>
      <c r="J31" s="9">
        <v>500</v>
      </c>
      <c r="K31" s="9">
        <v>500</v>
      </c>
      <c r="L31" s="9">
        <v>500</v>
      </c>
      <c r="M31" s="9">
        <v>500</v>
      </c>
      <c r="N31" s="10">
        <f t="shared" si="6"/>
        <v>6000</v>
      </c>
    </row>
    <row r="32" spans="1:14" ht="14.4" x14ac:dyDescent="0.3">
      <c r="A32" s="19" t="s">
        <v>27</v>
      </c>
      <c r="B32" s="9">
        <v>1000</v>
      </c>
      <c r="C32" s="9">
        <v>1000</v>
      </c>
      <c r="D32" s="9">
        <v>1000</v>
      </c>
      <c r="E32" s="9">
        <v>1000</v>
      </c>
      <c r="F32" s="9">
        <v>1000</v>
      </c>
      <c r="G32" s="9">
        <v>1000</v>
      </c>
      <c r="H32" s="9">
        <v>1000</v>
      </c>
      <c r="I32" s="9">
        <v>1000</v>
      </c>
      <c r="J32" s="9">
        <v>1000</v>
      </c>
      <c r="K32" s="9">
        <v>1000</v>
      </c>
      <c r="L32" s="9">
        <v>1000</v>
      </c>
      <c r="M32" s="9">
        <v>1000</v>
      </c>
      <c r="N32" s="10">
        <f t="shared" si="6"/>
        <v>12000</v>
      </c>
    </row>
    <row r="33" spans="1:14" ht="14.4" x14ac:dyDescent="0.3">
      <c r="A33" s="19" t="s">
        <v>28</v>
      </c>
      <c r="B33" s="9">
        <v>500</v>
      </c>
      <c r="C33" s="9">
        <v>500</v>
      </c>
      <c r="D33" s="9">
        <v>500</v>
      </c>
      <c r="E33" s="9">
        <v>500</v>
      </c>
      <c r="F33" s="9">
        <v>500</v>
      </c>
      <c r="G33" s="9">
        <v>500</v>
      </c>
      <c r="H33" s="9">
        <v>500</v>
      </c>
      <c r="I33" s="9">
        <v>500</v>
      </c>
      <c r="J33" s="9">
        <v>500</v>
      </c>
      <c r="K33" s="9">
        <v>500</v>
      </c>
      <c r="L33" s="9">
        <v>500</v>
      </c>
      <c r="M33" s="9">
        <v>500</v>
      </c>
      <c r="N33" s="10">
        <f t="shared" si="6"/>
        <v>6000</v>
      </c>
    </row>
    <row r="34" spans="1:14" ht="14.4" x14ac:dyDescent="0.3">
      <c r="A34" s="19" t="s">
        <v>29</v>
      </c>
      <c r="B34" s="9">
        <v>500</v>
      </c>
      <c r="C34" s="9">
        <v>500</v>
      </c>
      <c r="D34" s="9">
        <v>500</v>
      </c>
      <c r="E34" s="9">
        <v>500</v>
      </c>
      <c r="F34" s="9">
        <v>500</v>
      </c>
      <c r="G34" s="9">
        <v>500</v>
      </c>
      <c r="H34" s="9">
        <v>500</v>
      </c>
      <c r="I34" s="9">
        <v>500</v>
      </c>
      <c r="J34" s="9">
        <v>500</v>
      </c>
      <c r="K34" s="9">
        <v>500</v>
      </c>
      <c r="L34" s="9">
        <v>500</v>
      </c>
      <c r="M34" s="9">
        <v>500</v>
      </c>
      <c r="N34" s="10">
        <f t="shared" si="6"/>
        <v>6000</v>
      </c>
    </row>
    <row r="35" spans="1:14" ht="14.4" x14ac:dyDescent="0.3">
      <c r="A35" s="19" t="s">
        <v>30</v>
      </c>
      <c r="B35" s="9">
        <v>2000</v>
      </c>
      <c r="C35" s="9">
        <v>2000</v>
      </c>
      <c r="D35" s="9">
        <v>2000</v>
      </c>
      <c r="E35" s="9">
        <v>2000</v>
      </c>
      <c r="F35" s="9">
        <v>2000</v>
      </c>
      <c r="G35" s="9">
        <v>2000</v>
      </c>
      <c r="H35" s="9">
        <v>2000</v>
      </c>
      <c r="I35" s="9">
        <v>2000</v>
      </c>
      <c r="J35" s="9">
        <v>2000</v>
      </c>
      <c r="K35" s="9">
        <v>2000</v>
      </c>
      <c r="L35" s="9">
        <v>2000</v>
      </c>
      <c r="M35" s="9">
        <v>2000</v>
      </c>
      <c r="N35" s="10">
        <f t="shared" si="6"/>
        <v>24000</v>
      </c>
    </row>
    <row r="36" spans="1:14" ht="14.4" x14ac:dyDescent="0.3">
      <c r="A36" s="19" t="s">
        <v>31</v>
      </c>
      <c r="B36" s="9">
        <f>Dados!$E$11*Dados!$F$11</f>
        <v>600</v>
      </c>
      <c r="C36" s="9">
        <f>Dados!$E$11*Dados!$F$11</f>
        <v>600</v>
      </c>
      <c r="D36" s="9">
        <f>Dados!$E$11*Dados!$F$11</f>
        <v>600</v>
      </c>
      <c r="E36" s="9">
        <f>Dados!$E$11*Dados!$F$11</f>
        <v>600</v>
      </c>
      <c r="F36" s="9">
        <f>Dados!$E$11*Dados!$F$11</f>
        <v>600</v>
      </c>
      <c r="G36" s="9">
        <f>Dados!$E$11*Dados!$F$11</f>
        <v>600</v>
      </c>
      <c r="H36" s="9">
        <f>Dados!$E$11*Dados!$F$11</f>
        <v>600</v>
      </c>
      <c r="I36" s="9">
        <f>Dados!$E$11*Dados!$F$11</f>
        <v>600</v>
      </c>
      <c r="J36" s="9">
        <f>Dados!$E$11*Dados!$F$11</f>
        <v>600</v>
      </c>
      <c r="K36" s="9">
        <f>Dados!$E$11*Dados!$F$11</f>
        <v>600</v>
      </c>
      <c r="L36" s="9">
        <f>Dados!$E$11*Dados!$F$11</f>
        <v>600</v>
      </c>
      <c r="M36" s="9">
        <f>Dados!$E$11*Dados!$F$11</f>
        <v>600</v>
      </c>
      <c r="N36" s="10">
        <f t="shared" si="6"/>
        <v>7200</v>
      </c>
    </row>
    <row r="37" spans="1:14" ht="14.4" x14ac:dyDescent="0.3">
      <c r="A37" s="19" t="s">
        <v>32</v>
      </c>
      <c r="B37" s="9">
        <f>Dados!$E$12*Dados!$F$12</f>
        <v>1200</v>
      </c>
      <c r="C37" s="9">
        <f>Dados!$E$12*Dados!$F$12</f>
        <v>1200</v>
      </c>
      <c r="D37" s="9">
        <f>Dados!$E$12*Dados!$F$12</f>
        <v>1200</v>
      </c>
      <c r="E37" s="9">
        <f>Dados!$E$12*Dados!$F$12</f>
        <v>1200</v>
      </c>
      <c r="F37" s="9">
        <f>Dados!$E$12*Dados!$F$12</f>
        <v>1200</v>
      </c>
      <c r="G37" s="9">
        <f>Dados!$E$12*Dados!$F$12</f>
        <v>1200</v>
      </c>
      <c r="H37" s="9">
        <f>Dados!$E$12*Dados!$F$12</f>
        <v>1200</v>
      </c>
      <c r="I37" s="9">
        <f>Dados!$E$12*Dados!$F$12</f>
        <v>1200</v>
      </c>
      <c r="J37" s="9">
        <f>Dados!$E$12*Dados!$F$12</f>
        <v>1200</v>
      </c>
      <c r="K37" s="9">
        <f>Dados!$E$12*Dados!$F$12</f>
        <v>1200</v>
      </c>
      <c r="L37" s="9">
        <f>Dados!$E$12*Dados!$F$12</f>
        <v>1200</v>
      </c>
      <c r="M37" s="9">
        <f>Dados!$E$12*Dados!$F$12</f>
        <v>1200</v>
      </c>
      <c r="N37" s="10">
        <f t="shared" si="6"/>
        <v>14400</v>
      </c>
    </row>
    <row r="38" spans="1:14" ht="14.4" x14ac:dyDescent="0.3">
      <c r="A38" s="19" t="s">
        <v>33</v>
      </c>
      <c r="B38" s="9">
        <v>48</v>
      </c>
      <c r="C38" s="9">
        <v>48</v>
      </c>
      <c r="D38" s="9">
        <v>48</v>
      </c>
      <c r="E38" s="9">
        <v>48</v>
      </c>
      <c r="F38" s="9">
        <v>48</v>
      </c>
      <c r="G38" s="9">
        <v>48</v>
      </c>
      <c r="H38" s="9">
        <v>48</v>
      </c>
      <c r="I38" s="9">
        <v>48</v>
      </c>
      <c r="J38" s="9">
        <v>48</v>
      </c>
      <c r="K38" s="9">
        <v>48</v>
      </c>
      <c r="L38" s="9">
        <v>48</v>
      </c>
      <c r="M38" s="9">
        <v>48</v>
      </c>
      <c r="N38" s="10">
        <f t="shared" si="6"/>
        <v>576</v>
      </c>
    </row>
    <row r="39" spans="1:14" ht="14.4" x14ac:dyDescent="0.3">
      <c r="A39" s="19" t="s">
        <v>34</v>
      </c>
      <c r="B39" s="9">
        <v>2000</v>
      </c>
      <c r="C39" s="9">
        <v>2000</v>
      </c>
      <c r="D39" s="9">
        <v>2000</v>
      </c>
      <c r="E39" s="9">
        <v>2000</v>
      </c>
      <c r="F39" s="9">
        <v>2000</v>
      </c>
      <c r="G39" s="9">
        <v>2000</v>
      </c>
      <c r="H39" s="9">
        <v>2000</v>
      </c>
      <c r="I39" s="9">
        <v>2000</v>
      </c>
      <c r="J39" s="9">
        <v>2000</v>
      </c>
      <c r="K39" s="9">
        <v>2000</v>
      </c>
      <c r="L39" s="9">
        <v>2000</v>
      </c>
      <c r="M39" s="9">
        <v>2000</v>
      </c>
      <c r="N39" s="10">
        <f t="shared" si="6"/>
        <v>24000</v>
      </c>
    </row>
    <row r="40" spans="1:14" ht="14.4" x14ac:dyDescent="0.3">
      <c r="A40" s="8" t="s">
        <v>35</v>
      </c>
      <c r="B40" s="10">
        <f>Dados!$E$3</f>
        <v>10000</v>
      </c>
      <c r="C40" s="10">
        <f>Dados!$E$3</f>
        <v>10000</v>
      </c>
      <c r="D40" s="10">
        <f>Dados!$E$3</f>
        <v>10000</v>
      </c>
      <c r="E40" s="10">
        <f>Dados!$E$3</f>
        <v>10000</v>
      </c>
      <c r="F40" s="10">
        <f>Dados!$E$3</f>
        <v>10000</v>
      </c>
      <c r="G40" s="10">
        <f>Dados!$E$3</f>
        <v>10000</v>
      </c>
      <c r="H40" s="10">
        <f>Dados!$E$3</f>
        <v>10000</v>
      </c>
      <c r="I40" s="10">
        <f>Dados!$E$3</f>
        <v>10000</v>
      </c>
      <c r="J40" s="10">
        <f>Dados!$E$3</f>
        <v>10000</v>
      </c>
      <c r="K40" s="10">
        <f>Dados!$E$3</f>
        <v>10000</v>
      </c>
      <c r="L40" s="10">
        <f>Dados!$E$3</f>
        <v>10000</v>
      </c>
      <c r="M40" s="10">
        <f>Dados!$E$3</f>
        <v>10000</v>
      </c>
      <c r="N40" s="10">
        <f t="shared" si="6"/>
        <v>120000</v>
      </c>
    </row>
    <row r="41" spans="1:14" ht="27" customHeight="1" x14ac:dyDescent="0.3">
      <c r="A41" s="4" t="s">
        <v>36</v>
      </c>
      <c r="B41" s="5">
        <f>ROUND(B9-B19,2)</f>
        <v>25199.74</v>
      </c>
      <c r="C41" s="5">
        <f>ROUND(C9-C19,2)</f>
        <v>27733.07</v>
      </c>
      <c r="D41" s="5">
        <f>ROUND(D9-D19,2)</f>
        <v>30266.400000000001</v>
      </c>
      <c r="E41" s="5">
        <f>ROUND(E9-E19,2)</f>
        <v>32799.730000000003</v>
      </c>
      <c r="F41" s="5">
        <f>ROUND(F9-F19,2)</f>
        <v>34910.839999999997</v>
      </c>
      <c r="G41" s="5">
        <f>ROUND(G9-G19,2)</f>
        <v>37021.949999999997</v>
      </c>
      <c r="H41" s="5">
        <f>ROUND(H9-H19,2)</f>
        <v>39133.06</v>
      </c>
      <c r="I41" s="5">
        <f>ROUND(I9-I19,2)</f>
        <v>41244.17</v>
      </c>
      <c r="J41" s="5">
        <f>ROUND(J9-J19,2)</f>
        <v>43355.28</v>
      </c>
      <c r="K41" s="5">
        <f>ROUND(K9-K19,2)</f>
        <v>45466.39</v>
      </c>
      <c r="L41" s="5">
        <f>ROUND(L9-L19,2)</f>
        <v>47577.5</v>
      </c>
      <c r="M41" s="5">
        <f>ROUND(M9-M19,2)</f>
        <v>49688.61</v>
      </c>
      <c r="N41" s="5">
        <f>ROUND(SUM(B41:M41),2)</f>
        <v>454396.74</v>
      </c>
    </row>
    <row r="42" spans="1:14" ht="14.4" x14ac:dyDescent="0.3">
      <c r="A42" s="6" t="s">
        <v>37</v>
      </c>
      <c r="B42" s="13">
        <f>B41/B8</f>
        <v>0.19092225614006253</v>
      </c>
      <c r="C42" s="13">
        <f>C41/C8</f>
        <v>0.20361724876104581</v>
      </c>
      <c r="D42" s="13">
        <f>D41/D8</f>
        <v>0.21555054182477013</v>
      </c>
      <c r="E42" s="13">
        <f>E41/E8</f>
        <v>0.22678869160322895</v>
      </c>
      <c r="F42" s="13">
        <f>F41/F8</f>
        <v>0.23566559841366508</v>
      </c>
      <c r="G42" s="13">
        <f>G41/G8</f>
        <v>0.24413153731621068</v>
      </c>
      <c r="H42" s="13">
        <f>H41/H8</f>
        <v>0.25221440206027007</v>
      </c>
      <c r="I42" s="13">
        <f>I41/I8</f>
        <v>0.25993961792184894</v>
      </c>
      <c r="J42" s="13">
        <f>J41/J8</f>
        <v>0.26733040885435516</v>
      </c>
      <c r="K42" s="13">
        <f>K41/K8</f>
        <v>0.27440803067955172</v>
      </c>
      <c r="L42" s="13">
        <f>L41/L8</f>
        <v>0.28119197525059081</v>
      </c>
      <c r="M42" s="13">
        <f>M41/M8</f>
        <v>0.2877001497171161</v>
      </c>
      <c r="N42" s="13">
        <f>AVERAGE(B42:M42)</f>
        <v>0.24495503821189299</v>
      </c>
    </row>
    <row r="46" spans="1:14" ht="14.4" x14ac:dyDescent="0.3">
      <c r="A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</row>
    <row r="47" spans="1:14" ht="14.4" x14ac:dyDescent="0.3">
      <c r="A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2"/>
    </row>
    <row r="48" spans="1:14" ht="14.4" x14ac:dyDescent="0.3">
      <c r="A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  <row r="49" spans="1:14" ht="14.4" x14ac:dyDescent="0.3">
      <c r="A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</row>
    <row r="50" spans="1:14" ht="14.4" x14ac:dyDescent="0.3">
      <c r="A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2"/>
    </row>
    <row r="51" spans="1:14" ht="14.4" x14ac:dyDescent="0.3">
      <c r="A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</row>
    <row r="52" spans="1:14" ht="14.4" x14ac:dyDescent="0.3">
      <c r="A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1:14" ht="14.4" x14ac:dyDescent="0.3">
      <c r="A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1:14" ht="14.4" x14ac:dyDescent="0.3">
      <c r="A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1:14" ht="14.4" x14ac:dyDescent="0.3">
      <c r="A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1:14" ht="14.4" x14ac:dyDescent="0.3">
      <c r="A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</row>
    <row r="57" spans="1:14" ht="14.4" x14ac:dyDescent="0.3">
      <c r="A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2"/>
    </row>
    <row r="58" spans="1:14" ht="14.4" x14ac:dyDescent="0.3">
      <c r="A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ht="14.4" x14ac:dyDescent="0.3">
      <c r="A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1:14" ht="14.4" x14ac:dyDescent="0.3">
      <c r="A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14.4" x14ac:dyDescent="0.3">
      <c r="A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</row>
    <row r="62" spans="1:14" ht="14.4" x14ac:dyDescent="0.3">
      <c r="A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ht="14.4" x14ac:dyDescent="0.3">
      <c r="A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1:14" ht="14.4" x14ac:dyDescent="0.3">
      <c r="A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14.4" x14ac:dyDescent="0.3">
      <c r="A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2"/>
    </row>
    <row r="66" spans="1:14" ht="14.4" x14ac:dyDescent="0.3">
      <c r="A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14.4" x14ac:dyDescent="0.3">
      <c r="A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14.4" x14ac:dyDescent="0.3">
      <c r="A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14.4" x14ac:dyDescent="0.3">
      <c r="A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</row>
    <row r="70" spans="1:14" ht="14.4" x14ac:dyDescent="0.3">
      <c r="A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ht="14.4" x14ac:dyDescent="0.3">
      <c r="A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2"/>
    </row>
    <row r="72" spans="1:14" ht="14.4" x14ac:dyDescent="0.3">
      <c r="A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14.4" x14ac:dyDescent="0.3">
      <c r="A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2"/>
    </row>
    <row r="74" spans="1:14" ht="14.4" x14ac:dyDescent="0.3">
      <c r="A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14.4" x14ac:dyDescent="0.3">
      <c r="A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2"/>
    </row>
    <row r="76" spans="1:14" ht="14.4" x14ac:dyDescent="0.3">
      <c r="A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</row>
    <row r="77" spans="1:14" ht="14.4" x14ac:dyDescent="0.3">
      <c r="A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2"/>
    </row>
    <row r="78" spans="1:14" ht="14.4" x14ac:dyDescent="0.3">
      <c r="A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14.4" x14ac:dyDescent="0.3">
      <c r="A79" s="20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</row>
    <row r="80" spans="1:14" ht="14.4" x14ac:dyDescent="0.3">
      <c r="A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14.4" x14ac:dyDescent="0.3">
      <c r="A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2"/>
    </row>
    <row r="82" spans="1:14" ht="14.4" x14ac:dyDescent="0.3">
      <c r="A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</row>
    <row r="83" spans="1:14" ht="14.4" x14ac:dyDescent="0.3">
      <c r="A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2"/>
    </row>
    <row r="84" spans="1:14" ht="14.4" x14ac:dyDescent="0.3">
      <c r="A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14.4" x14ac:dyDescent="0.3">
      <c r="A85" s="20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2"/>
    </row>
    <row r="86" spans="1:14" ht="14.4" x14ac:dyDescent="0.3">
      <c r="A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14.4" x14ac:dyDescent="0.3">
      <c r="A87" s="20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2"/>
    </row>
    <row r="88" spans="1:14" ht="14.4" x14ac:dyDescent="0.3">
      <c r="A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14.4" x14ac:dyDescent="0.3">
      <c r="A89" s="20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2"/>
    </row>
    <row r="90" spans="1:14" ht="14.4" x14ac:dyDescent="0.3">
      <c r="A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</row>
    <row r="91" spans="1:14" ht="14.4" x14ac:dyDescent="0.3">
      <c r="A91" s="20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2"/>
    </row>
    <row r="92" spans="1:14" ht="14.4" x14ac:dyDescent="0.3">
      <c r="A92" s="20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14.4" x14ac:dyDescent="0.3">
      <c r="A93" s="20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</row>
    <row r="94" spans="1:14" ht="14.4" x14ac:dyDescent="0.3">
      <c r="A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14.4" x14ac:dyDescent="0.3">
      <c r="A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2"/>
    </row>
    <row r="96" spans="1:14" ht="14.4" x14ac:dyDescent="0.3">
      <c r="A96" s="20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14.4" x14ac:dyDescent="0.3">
      <c r="A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2"/>
    </row>
    <row r="98" spans="1:14" ht="14.4" x14ac:dyDescent="0.3">
      <c r="A98" s="20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14.4" x14ac:dyDescent="0.3">
      <c r="A99" s="20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2"/>
    </row>
    <row r="100" spans="1:14" ht="14.4" x14ac:dyDescent="0.3">
      <c r="A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14.4" x14ac:dyDescent="0.3">
      <c r="A101" s="20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2"/>
    </row>
    <row r="102" spans="1:14" ht="14.4" x14ac:dyDescent="0.3">
      <c r="A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14.4" x14ac:dyDescent="0.3">
      <c r="A103" s="20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2"/>
    </row>
    <row r="104" spans="1:14" ht="14.4" x14ac:dyDescent="0.3">
      <c r="A104" s="20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14.4" x14ac:dyDescent="0.3">
      <c r="A105" s="20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2"/>
    </row>
    <row r="106" spans="1:14" ht="14.4" x14ac:dyDescent="0.3">
      <c r="A106" s="20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</row>
    <row r="107" spans="1:14" ht="14.4" x14ac:dyDescent="0.3">
      <c r="A107" s="20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2"/>
    </row>
    <row r="108" spans="1:14" ht="14.4" x14ac:dyDescent="0.3">
      <c r="A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14.4" x14ac:dyDescent="0.3">
      <c r="A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2"/>
    </row>
    <row r="110" spans="1:14" ht="14.4" x14ac:dyDescent="0.3">
      <c r="A110" s="20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14.4" x14ac:dyDescent="0.3">
      <c r="A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2"/>
    </row>
    <row r="112" spans="1:14" ht="14.4" x14ac:dyDescent="0.3">
      <c r="A112" s="20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2"/>
    </row>
    <row r="113" spans="1:14" ht="14.4" x14ac:dyDescent="0.3">
      <c r="A113" s="20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2"/>
    </row>
    <row r="114" spans="1:14" ht="14.4" x14ac:dyDescent="0.3">
      <c r="A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2"/>
    </row>
    <row r="115" spans="1:14" ht="14.4" x14ac:dyDescent="0.3">
      <c r="A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2"/>
    </row>
    <row r="116" spans="1:14" ht="14.4" x14ac:dyDescent="0.3">
      <c r="A116" s="20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2"/>
    </row>
    <row r="117" spans="1:14" ht="14.4" x14ac:dyDescent="0.3">
      <c r="A117" s="20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2"/>
    </row>
    <row r="118" spans="1:14" ht="14.4" x14ac:dyDescent="0.3">
      <c r="A118" s="20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2"/>
    </row>
    <row r="119" spans="1:14" ht="14.4" x14ac:dyDescent="0.3">
      <c r="A119" s="20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2"/>
    </row>
    <row r="120" spans="1:14" ht="14.4" x14ac:dyDescent="0.3">
      <c r="A120" s="20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2"/>
    </row>
    <row r="121" spans="1:14" ht="14.4" x14ac:dyDescent="0.3">
      <c r="A121" s="20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2"/>
    </row>
    <row r="122" spans="1:14" ht="14.4" x14ac:dyDescent="0.3">
      <c r="A122" s="20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2"/>
    </row>
    <row r="123" spans="1:14" ht="14.4" x14ac:dyDescent="0.3">
      <c r="A123" s="20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2"/>
    </row>
    <row r="124" spans="1:14" ht="14.4" x14ac:dyDescent="0.3">
      <c r="A124" s="20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2"/>
    </row>
    <row r="125" spans="1:14" ht="14.4" x14ac:dyDescent="0.3">
      <c r="A125" s="20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2"/>
    </row>
    <row r="126" spans="1:14" ht="14.4" x14ac:dyDescent="0.3">
      <c r="A126" s="20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2"/>
    </row>
    <row r="127" spans="1:14" ht="14.4" x14ac:dyDescent="0.3">
      <c r="A127" s="20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2"/>
    </row>
    <row r="128" spans="1:14" ht="14.4" x14ac:dyDescent="0.3">
      <c r="A128" s="20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2"/>
    </row>
    <row r="129" spans="1:14" ht="14.4" x14ac:dyDescent="0.3">
      <c r="A129" s="20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2"/>
    </row>
    <row r="130" spans="1:14" ht="14.4" x14ac:dyDescent="0.3">
      <c r="A130" s="20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2"/>
    </row>
    <row r="131" spans="1:14" ht="14.4" x14ac:dyDescent="0.3">
      <c r="A131" s="20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2"/>
    </row>
    <row r="132" spans="1:14" ht="14.4" x14ac:dyDescent="0.3">
      <c r="A132" s="20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2"/>
    </row>
    <row r="133" spans="1:14" ht="14.4" x14ac:dyDescent="0.3">
      <c r="A133" s="20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2"/>
    </row>
    <row r="134" spans="1:14" ht="14.4" x14ac:dyDescent="0.3">
      <c r="A134" s="20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2"/>
    </row>
    <row r="135" spans="1:14" ht="14.4" x14ac:dyDescent="0.3">
      <c r="A135" s="20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2"/>
    </row>
    <row r="136" spans="1:14" ht="14.4" x14ac:dyDescent="0.3">
      <c r="A136" s="20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2"/>
    </row>
    <row r="137" spans="1:14" ht="14.4" x14ac:dyDescent="0.3">
      <c r="A137" s="20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2"/>
    </row>
    <row r="138" spans="1:14" ht="14.4" x14ac:dyDescent="0.3">
      <c r="A138" s="20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2"/>
    </row>
    <row r="139" spans="1:14" ht="14.4" x14ac:dyDescent="0.3">
      <c r="A139" s="20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2"/>
    </row>
    <row r="140" spans="1:14" ht="14.4" x14ac:dyDescent="0.3">
      <c r="A140" s="20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2"/>
    </row>
    <row r="141" spans="1:14" ht="14.4" x14ac:dyDescent="0.3">
      <c r="A141" s="20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2"/>
    </row>
    <row r="142" spans="1:14" ht="14.4" x14ac:dyDescent="0.3">
      <c r="A142" s="20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2"/>
    </row>
    <row r="143" spans="1:14" ht="14.4" x14ac:dyDescent="0.3">
      <c r="A143" s="20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2"/>
    </row>
    <row r="144" spans="1:14" ht="14.4" x14ac:dyDescent="0.3">
      <c r="A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2"/>
    </row>
    <row r="145" spans="1:14" ht="14.4" x14ac:dyDescent="0.3">
      <c r="A145" s="20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2"/>
    </row>
    <row r="146" spans="1:14" ht="14.4" x14ac:dyDescent="0.3">
      <c r="A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2"/>
    </row>
    <row r="147" spans="1:14" ht="14.4" x14ac:dyDescent="0.3">
      <c r="A147" s="20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2"/>
    </row>
    <row r="148" spans="1:14" ht="14.4" x14ac:dyDescent="0.3">
      <c r="A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2"/>
    </row>
    <row r="149" spans="1:14" ht="14.4" x14ac:dyDescent="0.3">
      <c r="A149" s="20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2"/>
    </row>
    <row r="150" spans="1:14" ht="14.4" x14ac:dyDescent="0.3">
      <c r="A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2"/>
    </row>
    <row r="151" spans="1:14" ht="14.4" x14ac:dyDescent="0.3">
      <c r="A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2"/>
    </row>
    <row r="152" spans="1:14" ht="14.4" x14ac:dyDescent="0.3">
      <c r="A152" s="20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2"/>
    </row>
    <row r="153" spans="1:14" ht="14.4" x14ac:dyDescent="0.3">
      <c r="A153" s="20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2"/>
    </row>
    <row r="154" spans="1:14" ht="14.4" x14ac:dyDescent="0.3">
      <c r="A154" s="20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2"/>
    </row>
    <row r="155" spans="1:14" ht="14.4" x14ac:dyDescent="0.3">
      <c r="A155" s="20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2"/>
    </row>
    <row r="156" spans="1:14" ht="14.4" x14ac:dyDescent="0.3">
      <c r="A156" s="20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2"/>
    </row>
    <row r="157" spans="1:14" ht="14.4" x14ac:dyDescent="0.3">
      <c r="A157" s="20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2"/>
    </row>
    <row r="158" spans="1:14" ht="14.4" x14ac:dyDescent="0.3">
      <c r="A158" s="20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2"/>
    </row>
    <row r="159" spans="1:14" ht="14.4" x14ac:dyDescent="0.3">
      <c r="A159" s="20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2"/>
    </row>
    <row r="160" spans="1:14" ht="14.4" x14ac:dyDescent="0.3">
      <c r="A160" s="20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2"/>
    </row>
    <row r="161" spans="1:14" ht="14.4" x14ac:dyDescent="0.3">
      <c r="A161" s="20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2"/>
    </row>
    <row r="162" spans="1:14" ht="14.4" x14ac:dyDescent="0.3">
      <c r="A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2"/>
    </row>
    <row r="163" spans="1:14" ht="14.4" x14ac:dyDescent="0.3">
      <c r="A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2"/>
    </row>
    <row r="164" spans="1:14" ht="14.4" x14ac:dyDescent="0.3">
      <c r="A164" s="20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2"/>
    </row>
    <row r="165" spans="1:14" ht="14.4" x14ac:dyDescent="0.3">
      <c r="A165" s="20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2"/>
    </row>
    <row r="166" spans="1:14" ht="14.4" x14ac:dyDescent="0.3">
      <c r="A166" s="20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2"/>
    </row>
    <row r="167" spans="1:14" ht="14.4" x14ac:dyDescent="0.3">
      <c r="A167" s="20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2"/>
    </row>
    <row r="168" spans="1:14" ht="14.4" x14ac:dyDescent="0.3">
      <c r="A168" s="20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</row>
    <row r="169" spans="1:14" ht="14.4" x14ac:dyDescent="0.3">
      <c r="A169" s="20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2"/>
    </row>
    <row r="170" spans="1:14" ht="14.4" x14ac:dyDescent="0.3">
      <c r="A170" s="20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14.4" x14ac:dyDescent="0.3">
      <c r="A171" s="20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2"/>
    </row>
    <row r="172" spans="1:14" ht="14.4" x14ac:dyDescent="0.3">
      <c r="A172" s="20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</row>
    <row r="173" spans="1:14" ht="14.4" x14ac:dyDescent="0.3">
      <c r="A173" s="20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2"/>
    </row>
    <row r="174" spans="1:14" ht="14.4" x14ac:dyDescent="0.3">
      <c r="A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14.4" x14ac:dyDescent="0.3">
      <c r="A175" s="20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2"/>
    </row>
    <row r="176" spans="1:14" ht="14.4" x14ac:dyDescent="0.3">
      <c r="A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14.4" x14ac:dyDescent="0.3">
      <c r="A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2"/>
    </row>
    <row r="178" spans="1:14" ht="14.4" x14ac:dyDescent="0.3">
      <c r="A178" s="20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14.4" x14ac:dyDescent="0.3">
      <c r="A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2"/>
    </row>
    <row r="180" spans="1:14" ht="14.4" x14ac:dyDescent="0.3">
      <c r="A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</row>
    <row r="181" spans="1:14" ht="14.4" x14ac:dyDescent="0.3">
      <c r="A181" s="20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2"/>
    </row>
    <row r="182" spans="1:14" ht="14.4" x14ac:dyDescent="0.3">
      <c r="A182" s="20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14.4" x14ac:dyDescent="0.3">
      <c r="A183" s="20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2"/>
    </row>
    <row r="184" spans="1:14" ht="14.4" x14ac:dyDescent="0.3">
      <c r="A184" s="20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14.4" x14ac:dyDescent="0.3">
      <c r="A185" s="20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2"/>
    </row>
    <row r="186" spans="1:14" ht="14.4" x14ac:dyDescent="0.3">
      <c r="A186" s="20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14.4" x14ac:dyDescent="0.3">
      <c r="A187" s="20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2"/>
    </row>
    <row r="188" spans="1:14" ht="14.4" x14ac:dyDescent="0.3">
      <c r="A188" s="20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14.4" x14ac:dyDescent="0.3">
      <c r="A189" s="20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2"/>
    </row>
    <row r="190" spans="1:14" ht="14.4" x14ac:dyDescent="0.3">
      <c r="A190" s="20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14.4" x14ac:dyDescent="0.3">
      <c r="A191" s="20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2"/>
    </row>
    <row r="192" spans="1:14" ht="14.4" x14ac:dyDescent="0.3">
      <c r="A192" s="20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14.4" x14ac:dyDescent="0.3">
      <c r="A193" s="20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2"/>
    </row>
    <row r="194" spans="1:14" ht="14.4" x14ac:dyDescent="0.3">
      <c r="A194" s="20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14.4" x14ac:dyDescent="0.3">
      <c r="A195" s="20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2"/>
    </row>
    <row r="196" spans="1:14" ht="14.4" x14ac:dyDescent="0.3">
      <c r="A196" s="20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14.4" x14ac:dyDescent="0.3">
      <c r="A197" s="20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2"/>
    </row>
    <row r="198" spans="1:14" ht="14.4" x14ac:dyDescent="0.3">
      <c r="A198" s="20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14.4" x14ac:dyDescent="0.3">
      <c r="A199" s="20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2"/>
    </row>
    <row r="200" spans="1:14" ht="14.4" x14ac:dyDescent="0.3">
      <c r="A200" s="20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14.4" x14ac:dyDescent="0.3">
      <c r="A201" s="20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2"/>
    </row>
    <row r="202" spans="1:14" ht="14.4" x14ac:dyDescent="0.3">
      <c r="A202" s="20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14.4" x14ac:dyDescent="0.3">
      <c r="A203" s="20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2"/>
    </row>
    <row r="204" spans="1:14" ht="14.4" x14ac:dyDescent="0.3">
      <c r="A204" s="20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14.4" x14ac:dyDescent="0.3">
      <c r="A205" s="20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2"/>
    </row>
    <row r="206" spans="1:14" ht="14.4" x14ac:dyDescent="0.3">
      <c r="A206" s="20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14.4" x14ac:dyDescent="0.3">
      <c r="A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2"/>
    </row>
    <row r="208" spans="1:14" ht="14.4" x14ac:dyDescent="0.3">
      <c r="A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14.4" x14ac:dyDescent="0.3">
      <c r="A209" s="20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2"/>
    </row>
    <row r="210" spans="1:14" ht="14.4" x14ac:dyDescent="0.3">
      <c r="A210" s="20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14.4" x14ac:dyDescent="0.3">
      <c r="A211" s="20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2"/>
    </row>
    <row r="212" spans="1:14" ht="14.4" x14ac:dyDescent="0.3">
      <c r="A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14.4" x14ac:dyDescent="0.3">
      <c r="A213" s="20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2"/>
    </row>
    <row r="214" spans="1:14" ht="14.4" x14ac:dyDescent="0.3">
      <c r="A214" s="20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14.4" x14ac:dyDescent="0.3">
      <c r="A215" s="20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2"/>
    </row>
    <row r="216" spans="1:14" ht="14.4" x14ac:dyDescent="0.3">
      <c r="A216" s="20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14.4" x14ac:dyDescent="0.3">
      <c r="A217" s="20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2"/>
    </row>
    <row r="218" spans="1:14" ht="14.4" x14ac:dyDescent="0.3">
      <c r="A218" s="20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2"/>
    </row>
    <row r="219" spans="1:14" ht="14.4" x14ac:dyDescent="0.3">
      <c r="A219" s="20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2"/>
    </row>
    <row r="220" spans="1:14" ht="14.4" x14ac:dyDescent="0.3">
      <c r="A220" s="20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14.4" x14ac:dyDescent="0.3">
      <c r="A221" s="20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2"/>
    </row>
    <row r="222" spans="1:14" ht="14.4" x14ac:dyDescent="0.3">
      <c r="A222" s="20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2"/>
    </row>
    <row r="223" spans="1:14" ht="14.4" x14ac:dyDescent="0.3">
      <c r="A223" s="20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2"/>
    </row>
    <row r="224" spans="1:14" ht="14.4" x14ac:dyDescent="0.3">
      <c r="A224" s="20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2"/>
    </row>
    <row r="225" spans="1:14" ht="14.4" x14ac:dyDescent="0.3">
      <c r="A225" s="20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2"/>
    </row>
    <row r="226" spans="1:14" ht="14.4" x14ac:dyDescent="0.3">
      <c r="A226" s="20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2"/>
    </row>
    <row r="227" spans="1:14" ht="14.4" x14ac:dyDescent="0.3">
      <c r="A227" s="20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2"/>
    </row>
    <row r="228" spans="1:14" ht="14.4" x14ac:dyDescent="0.3">
      <c r="A228" s="20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2"/>
    </row>
    <row r="229" spans="1:14" ht="14.4" x14ac:dyDescent="0.3">
      <c r="A229" s="20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2"/>
    </row>
    <row r="230" spans="1:14" ht="14.4" x14ac:dyDescent="0.3">
      <c r="A230" s="20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2"/>
    </row>
    <row r="231" spans="1:14" ht="14.4" x14ac:dyDescent="0.3">
      <c r="A231" s="20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2"/>
    </row>
    <row r="232" spans="1:14" ht="14.4" x14ac:dyDescent="0.3">
      <c r="A232" s="20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2"/>
    </row>
    <row r="233" spans="1:14" ht="14.4" x14ac:dyDescent="0.3">
      <c r="A233" s="20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2"/>
    </row>
    <row r="234" spans="1:14" ht="14.4" x14ac:dyDescent="0.3">
      <c r="A234" s="20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2"/>
    </row>
    <row r="235" spans="1:14" ht="14.4" x14ac:dyDescent="0.3">
      <c r="A235" s="20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2"/>
    </row>
    <row r="236" spans="1:14" ht="14.4" x14ac:dyDescent="0.3">
      <c r="A236" s="20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2"/>
    </row>
    <row r="237" spans="1:14" ht="14.4" x14ac:dyDescent="0.3">
      <c r="A237" s="20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2"/>
    </row>
    <row r="238" spans="1:14" ht="14.4" x14ac:dyDescent="0.3">
      <c r="A238" s="20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2"/>
    </row>
    <row r="239" spans="1:14" ht="14.4" x14ac:dyDescent="0.3">
      <c r="A239" s="20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2"/>
    </row>
    <row r="240" spans="1:14" ht="14.4" x14ac:dyDescent="0.3">
      <c r="A240" s="20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2"/>
    </row>
    <row r="241" spans="1:14" ht="14.4" x14ac:dyDescent="0.3">
      <c r="A241" s="20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2"/>
    </row>
    <row r="242" spans="1:14" ht="14.4" x14ac:dyDescent="0.3">
      <c r="A242" s="20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2"/>
    </row>
    <row r="243" spans="1:14" ht="14.4" x14ac:dyDescent="0.3">
      <c r="A243" s="20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2"/>
    </row>
    <row r="244" spans="1:14" ht="14.4" x14ac:dyDescent="0.3">
      <c r="A244" s="20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2"/>
    </row>
    <row r="245" spans="1:14" ht="14.4" x14ac:dyDescent="0.3">
      <c r="A245" s="20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2"/>
    </row>
    <row r="246" spans="1:14" ht="14.4" x14ac:dyDescent="0.3">
      <c r="A246" s="20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2"/>
    </row>
    <row r="247" spans="1:14" ht="14.4" x14ac:dyDescent="0.3">
      <c r="A247" s="20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2"/>
    </row>
    <row r="248" spans="1:14" ht="14.4" x14ac:dyDescent="0.3">
      <c r="A248" s="20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2"/>
    </row>
    <row r="249" spans="1:14" ht="14.4" x14ac:dyDescent="0.3">
      <c r="A249" s="20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2"/>
    </row>
    <row r="250" spans="1:14" ht="14.4" x14ac:dyDescent="0.3">
      <c r="A250" s="20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2"/>
    </row>
    <row r="251" spans="1:14" ht="14.4" x14ac:dyDescent="0.3">
      <c r="A251" s="20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2"/>
    </row>
    <row r="252" spans="1:14" ht="14.4" x14ac:dyDescent="0.3">
      <c r="A252" s="20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2"/>
    </row>
    <row r="253" spans="1:14" ht="14.4" x14ac:dyDescent="0.3">
      <c r="A253" s="20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2"/>
    </row>
    <row r="254" spans="1:14" ht="14.4" x14ac:dyDescent="0.3">
      <c r="A254" s="20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2"/>
    </row>
    <row r="255" spans="1:14" ht="14.4" x14ac:dyDescent="0.3">
      <c r="A255" s="20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2"/>
    </row>
    <row r="256" spans="1:14" ht="14.4" x14ac:dyDescent="0.3">
      <c r="A256" s="20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2"/>
    </row>
    <row r="257" spans="1:14" ht="14.4" x14ac:dyDescent="0.3">
      <c r="A257" s="20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2"/>
    </row>
    <row r="258" spans="1:14" ht="14.4" x14ac:dyDescent="0.3">
      <c r="A258" s="20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2"/>
    </row>
    <row r="259" spans="1:14" ht="14.4" x14ac:dyDescent="0.3">
      <c r="A259" s="20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2"/>
    </row>
    <row r="260" spans="1:14" ht="14.4" x14ac:dyDescent="0.3">
      <c r="A260" s="20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2"/>
    </row>
    <row r="261" spans="1:14" ht="14.4" x14ac:dyDescent="0.3">
      <c r="A261" s="20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2"/>
    </row>
    <row r="262" spans="1:14" ht="14.4" x14ac:dyDescent="0.3">
      <c r="A262" s="20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2"/>
    </row>
    <row r="263" spans="1:14" ht="14.4" x14ac:dyDescent="0.3">
      <c r="A263" s="20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2"/>
    </row>
    <row r="264" spans="1:14" ht="14.4" x14ac:dyDescent="0.3">
      <c r="A264" s="20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2"/>
    </row>
    <row r="265" spans="1:14" ht="14.4" x14ac:dyDescent="0.3">
      <c r="A265" s="20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2"/>
    </row>
    <row r="266" spans="1:14" ht="14.4" x14ac:dyDescent="0.3">
      <c r="A266" s="20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2"/>
    </row>
    <row r="267" spans="1:14" ht="14.4" x14ac:dyDescent="0.3">
      <c r="A267" s="20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2"/>
    </row>
    <row r="268" spans="1:14" ht="14.4" x14ac:dyDescent="0.3">
      <c r="A268" s="20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2"/>
    </row>
    <row r="269" spans="1:14" ht="14.4" x14ac:dyDescent="0.3">
      <c r="A269" s="20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2"/>
    </row>
    <row r="270" spans="1:14" ht="14.4" x14ac:dyDescent="0.3">
      <c r="A270" s="20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2"/>
    </row>
    <row r="271" spans="1:14" ht="14.4" x14ac:dyDescent="0.3">
      <c r="A271" s="20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2"/>
    </row>
    <row r="272" spans="1:14" ht="14.4" x14ac:dyDescent="0.3">
      <c r="A272" s="20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2"/>
    </row>
    <row r="273" spans="1:14" ht="14.4" x14ac:dyDescent="0.3">
      <c r="A273" s="20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2"/>
    </row>
    <row r="274" spans="1:14" ht="14.4" x14ac:dyDescent="0.3">
      <c r="A274" s="20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2"/>
    </row>
    <row r="275" spans="1:14" ht="14.4" x14ac:dyDescent="0.3">
      <c r="A275" s="20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2"/>
    </row>
    <row r="276" spans="1:14" ht="14.4" x14ac:dyDescent="0.3">
      <c r="A276" s="20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2"/>
    </row>
    <row r="277" spans="1:14" ht="14.4" x14ac:dyDescent="0.3">
      <c r="A277" s="20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2"/>
    </row>
    <row r="278" spans="1:14" ht="14.4" x14ac:dyDescent="0.3">
      <c r="A278" s="20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 spans="1:14" ht="14.4" x14ac:dyDescent="0.3">
      <c r="A279" s="20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2"/>
    </row>
    <row r="280" spans="1:14" ht="14.4" x14ac:dyDescent="0.3">
      <c r="A280" s="20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14.4" x14ac:dyDescent="0.3">
      <c r="A281" s="20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2"/>
    </row>
    <row r="282" spans="1:14" ht="14.4" x14ac:dyDescent="0.3">
      <c r="A282" s="20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2"/>
    </row>
    <row r="283" spans="1:14" ht="14.4" x14ac:dyDescent="0.3">
      <c r="A283" s="20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2"/>
    </row>
    <row r="284" spans="1:14" ht="14.4" x14ac:dyDescent="0.3">
      <c r="A284" s="20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14.4" x14ac:dyDescent="0.3">
      <c r="A285" s="20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2"/>
    </row>
    <row r="286" spans="1:14" ht="14.4" x14ac:dyDescent="0.3">
      <c r="A286" s="20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14.4" x14ac:dyDescent="0.3">
      <c r="A287" s="20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2"/>
    </row>
    <row r="288" spans="1:14" ht="14.4" x14ac:dyDescent="0.3">
      <c r="A288" s="20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14.4" x14ac:dyDescent="0.3">
      <c r="A289" s="20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2"/>
    </row>
    <row r="290" spans="1:14" ht="14.4" x14ac:dyDescent="0.3">
      <c r="A290" s="20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14.4" x14ac:dyDescent="0.3">
      <c r="A291" s="20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2"/>
    </row>
    <row r="292" spans="1:14" ht="14.4" x14ac:dyDescent="0.3">
      <c r="A292" s="20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14.4" x14ac:dyDescent="0.3">
      <c r="A293" s="20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2"/>
    </row>
    <row r="294" spans="1:14" ht="14.4" x14ac:dyDescent="0.3">
      <c r="A294" s="20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14.4" x14ac:dyDescent="0.3">
      <c r="A295" s="20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2"/>
    </row>
    <row r="296" spans="1:14" ht="14.4" x14ac:dyDescent="0.3">
      <c r="A296" s="20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2"/>
    </row>
    <row r="297" spans="1:14" ht="14.4" x14ac:dyDescent="0.3">
      <c r="A297" s="20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2"/>
    </row>
    <row r="298" spans="1:14" ht="14.4" x14ac:dyDescent="0.3">
      <c r="A298" s="20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14.4" x14ac:dyDescent="0.3">
      <c r="A299" s="20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2"/>
    </row>
    <row r="300" spans="1:14" ht="14.4" x14ac:dyDescent="0.3">
      <c r="A300" s="20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14.4" x14ac:dyDescent="0.3">
      <c r="A301" s="20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2"/>
    </row>
    <row r="302" spans="1:14" ht="14.4" x14ac:dyDescent="0.3">
      <c r="A302" s="20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2"/>
    </row>
    <row r="303" spans="1:14" ht="14.4" x14ac:dyDescent="0.3">
      <c r="A303" s="20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2"/>
    </row>
    <row r="304" spans="1:14" ht="14.4" x14ac:dyDescent="0.3">
      <c r="A304" s="20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14.4" x14ac:dyDescent="0.3">
      <c r="A305" s="20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2"/>
    </row>
    <row r="306" spans="1:14" ht="14.4" x14ac:dyDescent="0.3">
      <c r="A306" s="20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14.4" x14ac:dyDescent="0.3">
      <c r="A307" s="20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2"/>
    </row>
    <row r="308" spans="1:14" ht="14.4" x14ac:dyDescent="0.3">
      <c r="A308" s="20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14.4" x14ac:dyDescent="0.3">
      <c r="A309" s="20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2"/>
    </row>
    <row r="310" spans="1:14" ht="14.4" x14ac:dyDescent="0.3">
      <c r="A310" s="20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2"/>
    </row>
    <row r="311" spans="1:14" ht="14.4" x14ac:dyDescent="0.3">
      <c r="A311" s="20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2"/>
    </row>
    <row r="312" spans="1:14" ht="14.4" x14ac:dyDescent="0.3">
      <c r="A312" s="20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14.4" x14ac:dyDescent="0.3">
      <c r="A313" s="20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2"/>
    </row>
    <row r="314" spans="1:14" ht="14.4" x14ac:dyDescent="0.3">
      <c r="A314" s="20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14.4" x14ac:dyDescent="0.3">
      <c r="A315" s="20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2"/>
    </row>
    <row r="316" spans="1:14" ht="14.4" x14ac:dyDescent="0.3">
      <c r="A316" s="20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2"/>
    </row>
    <row r="317" spans="1:14" ht="14.4" x14ac:dyDescent="0.3">
      <c r="A317" s="20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2"/>
    </row>
    <row r="318" spans="1:14" ht="14.4" x14ac:dyDescent="0.3">
      <c r="A318" s="20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14.4" x14ac:dyDescent="0.3">
      <c r="A319" s="20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2"/>
    </row>
    <row r="320" spans="1:14" ht="14.4" x14ac:dyDescent="0.3">
      <c r="A320" s="20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14.4" x14ac:dyDescent="0.3">
      <c r="A321" s="20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2"/>
    </row>
    <row r="322" spans="1:14" ht="14.4" x14ac:dyDescent="0.3">
      <c r="A322" s="20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14.4" x14ac:dyDescent="0.3">
      <c r="A323" s="20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2"/>
    </row>
    <row r="324" spans="1:14" ht="14.4" x14ac:dyDescent="0.3">
      <c r="A324" s="20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14.4" x14ac:dyDescent="0.3">
      <c r="A325" s="20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2"/>
    </row>
    <row r="326" spans="1:14" ht="14.4" x14ac:dyDescent="0.3">
      <c r="A326" s="20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2"/>
    </row>
    <row r="327" spans="1:14" ht="14.4" x14ac:dyDescent="0.3">
      <c r="A327" s="20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2"/>
    </row>
    <row r="328" spans="1:14" ht="14.4" x14ac:dyDescent="0.3">
      <c r="A328" s="20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2"/>
    </row>
    <row r="329" spans="1:14" ht="14.4" x14ac:dyDescent="0.3">
      <c r="A329" s="20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2"/>
    </row>
    <row r="330" spans="1:14" ht="14.4" x14ac:dyDescent="0.3">
      <c r="A330" s="20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14.4" x14ac:dyDescent="0.3">
      <c r="A331" s="20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2"/>
    </row>
    <row r="332" spans="1:14" ht="14.4" x14ac:dyDescent="0.3">
      <c r="A332" s="20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2"/>
    </row>
    <row r="333" spans="1:14" ht="14.4" x14ac:dyDescent="0.3">
      <c r="A333" s="20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2"/>
    </row>
    <row r="334" spans="1:14" ht="14.4" x14ac:dyDescent="0.3">
      <c r="A334" s="20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2"/>
    </row>
    <row r="335" spans="1:14" ht="14.4" x14ac:dyDescent="0.3">
      <c r="A335" s="20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2"/>
    </row>
    <row r="336" spans="1:14" ht="14.4" x14ac:dyDescent="0.3">
      <c r="A336" s="20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2"/>
    </row>
    <row r="337" spans="1:14" ht="14.4" x14ac:dyDescent="0.3">
      <c r="A337" s="20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2"/>
    </row>
    <row r="338" spans="1:14" ht="14.4" x14ac:dyDescent="0.3">
      <c r="A338" s="20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2"/>
    </row>
    <row r="339" spans="1:14" ht="14.4" x14ac:dyDescent="0.3">
      <c r="A339" s="20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2"/>
    </row>
    <row r="340" spans="1:14" ht="14.4" x14ac:dyDescent="0.3">
      <c r="A340" s="20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2"/>
    </row>
    <row r="341" spans="1:14" ht="14.4" x14ac:dyDescent="0.3">
      <c r="A341" s="20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2"/>
    </row>
    <row r="342" spans="1:14" ht="14.4" x14ac:dyDescent="0.3">
      <c r="A342" s="20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2"/>
    </row>
    <row r="343" spans="1:14" ht="14.4" x14ac:dyDescent="0.3">
      <c r="A343" s="20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2"/>
    </row>
    <row r="344" spans="1:14" ht="14.4" x14ac:dyDescent="0.3">
      <c r="A344" s="20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2"/>
    </row>
    <row r="345" spans="1:14" ht="14.4" x14ac:dyDescent="0.3">
      <c r="A345" s="20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2"/>
    </row>
    <row r="346" spans="1:14" ht="14.4" x14ac:dyDescent="0.3">
      <c r="A346" s="20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2"/>
    </row>
    <row r="347" spans="1:14" ht="14.4" x14ac:dyDescent="0.3">
      <c r="A347" s="20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2"/>
    </row>
    <row r="348" spans="1:14" ht="14.4" x14ac:dyDescent="0.3">
      <c r="A348" s="20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2"/>
    </row>
    <row r="349" spans="1:14" ht="14.4" x14ac:dyDescent="0.3">
      <c r="A349" s="20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2"/>
    </row>
    <row r="350" spans="1:14" ht="14.4" x14ac:dyDescent="0.3">
      <c r="A350" s="20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2"/>
    </row>
    <row r="351" spans="1:14" ht="14.4" x14ac:dyDescent="0.3">
      <c r="A351" s="20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2"/>
    </row>
    <row r="352" spans="1:14" ht="14.4" x14ac:dyDescent="0.3">
      <c r="A352" s="20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2"/>
    </row>
    <row r="353" spans="1:14" ht="14.4" x14ac:dyDescent="0.3">
      <c r="A353" s="20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2"/>
    </row>
    <row r="354" spans="1:14" ht="14.4" x14ac:dyDescent="0.3">
      <c r="A354" s="20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2"/>
    </row>
    <row r="355" spans="1:14" ht="14.4" x14ac:dyDescent="0.3">
      <c r="A355" s="20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2"/>
    </row>
    <row r="356" spans="1:14" ht="14.4" x14ac:dyDescent="0.3">
      <c r="A356" s="20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2"/>
    </row>
    <row r="357" spans="1:14" ht="14.4" x14ac:dyDescent="0.3">
      <c r="A357" s="20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2"/>
    </row>
    <row r="358" spans="1:14" ht="14.4" x14ac:dyDescent="0.3">
      <c r="A358" s="20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2"/>
    </row>
    <row r="359" spans="1:14" ht="14.4" x14ac:dyDescent="0.3">
      <c r="A359" s="20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2"/>
    </row>
    <row r="360" spans="1:14" ht="14.4" x14ac:dyDescent="0.3">
      <c r="A360" s="20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2"/>
    </row>
    <row r="361" spans="1:14" ht="14.4" x14ac:dyDescent="0.3">
      <c r="A361" s="20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2"/>
    </row>
    <row r="362" spans="1:14" ht="14.4" x14ac:dyDescent="0.3">
      <c r="A362" s="20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2"/>
    </row>
    <row r="363" spans="1:14" ht="14.4" x14ac:dyDescent="0.3">
      <c r="A363" s="20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2"/>
    </row>
    <row r="364" spans="1:14" ht="14.4" x14ac:dyDescent="0.3">
      <c r="A364" s="20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2"/>
    </row>
    <row r="365" spans="1:14" ht="14.4" x14ac:dyDescent="0.3">
      <c r="A365" s="20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2"/>
    </row>
    <row r="366" spans="1:14" ht="14.4" x14ac:dyDescent="0.3">
      <c r="A366" s="20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2"/>
    </row>
    <row r="367" spans="1:14" ht="14.4" x14ac:dyDescent="0.3">
      <c r="A367" s="20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2"/>
    </row>
    <row r="368" spans="1:14" ht="14.4" x14ac:dyDescent="0.3">
      <c r="A368" s="20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2"/>
    </row>
    <row r="369" spans="1:14" ht="14.4" x14ac:dyDescent="0.3">
      <c r="A369" s="20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2"/>
    </row>
    <row r="370" spans="1:14" ht="14.4" x14ac:dyDescent="0.3">
      <c r="A370" s="20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2"/>
    </row>
    <row r="371" spans="1:14" ht="14.4" x14ac:dyDescent="0.3">
      <c r="A371" s="20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2"/>
    </row>
    <row r="372" spans="1:14" ht="14.4" x14ac:dyDescent="0.3">
      <c r="A372" s="20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2"/>
    </row>
    <row r="373" spans="1:14" ht="14.4" x14ac:dyDescent="0.3">
      <c r="A373" s="20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2"/>
    </row>
    <row r="374" spans="1:14" ht="14.4" x14ac:dyDescent="0.3">
      <c r="A374" s="20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2"/>
    </row>
    <row r="375" spans="1:14" ht="14.4" x14ac:dyDescent="0.3">
      <c r="A375" s="20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2"/>
    </row>
    <row r="376" spans="1:14" ht="14.4" x14ac:dyDescent="0.3">
      <c r="A376" s="20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2"/>
    </row>
    <row r="377" spans="1:14" ht="14.4" x14ac:dyDescent="0.3">
      <c r="A377" s="20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2"/>
    </row>
    <row r="378" spans="1:14" ht="14.4" x14ac:dyDescent="0.3">
      <c r="A378" s="20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2"/>
    </row>
    <row r="379" spans="1:14" ht="14.4" x14ac:dyDescent="0.3">
      <c r="A379" s="20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2"/>
    </row>
    <row r="380" spans="1:14" ht="14.4" x14ac:dyDescent="0.3">
      <c r="A380" s="20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2"/>
    </row>
    <row r="381" spans="1:14" ht="14.4" x14ac:dyDescent="0.3">
      <c r="A381" s="20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2"/>
    </row>
    <row r="382" spans="1:14" ht="14.4" x14ac:dyDescent="0.3">
      <c r="A382" s="20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2"/>
    </row>
    <row r="383" spans="1:14" ht="14.4" x14ac:dyDescent="0.3">
      <c r="A383" s="20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2"/>
    </row>
    <row r="384" spans="1:14" ht="14.4" x14ac:dyDescent="0.3">
      <c r="A384" s="20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2"/>
    </row>
    <row r="385" spans="1:14" ht="14.4" x14ac:dyDescent="0.3">
      <c r="A385" s="20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2"/>
    </row>
    <row r="386" spans="1:14" ht="14.4" x14ac:dyDescent="0.3">
      <c r="A386" s="20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2"/>
    </row>
    <row r="387" spans="1:14" ht="14.4" x14ac:dyDescent="0.3">
      <c r="A387" s="20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2"/>
    </row>
    <row r="388" spans="1:14" ht="14.4" x14ac:dyDescent="0.3">
      <c r="A388" s="20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2"/>
    </row>
    <row r="389" spans="1:14" ht="14.4" x14ac:dyDescent="0.3">
      <c r="A389" s="20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2"/>
    </row>
    <row r="390" spans="1:14" ht="14.4" x14ac:dyDescent="0.3">
      <c r="A390" s="20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14.4" x14ac:dyDescent="0.3">
      <c r="A391" s="20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2"/>
    </row>
    <row r="392" spans="1:14" ht="14.4" x14ac:dyDescent="0.3">
      <c r="A392" s="20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2"/>
    </row>
    <row r="393" spans="1:14" ht="14.4" x14ac:dyDescent="0.3">
      <c r="A393" s="20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2"/>
    </row>
    <row r="394" spans="1:14" ht="14.4" x14ac:dyDescent="0.3">
      <c r="A394" s="20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14.4" x14ac:dyDescent="0.3">
      <c r="A395" s="20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2"/>
    </row>
    <row r="396" spans="1:14" ht="14.4" x14ac:dyDescent="0.3">
      <c r="A396" s="20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14.4" x14ac:dyDescent="0.3">
      <c r="A397" s="20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2"/>
    </row>
    <row r="398" spans="1:14" ht="14.4" x14ac:dyDescent="0.3">
      <c r="A398" s="20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14.4" x14ac:dyDescent="0.3">
      <c r="A399" s="20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2"/>
    </row>
    <row r="400" spans="1:14" ht="14.4" x14ac:dyDescent="0.3">
      <c r="A400" s="20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14.4" x14ac:dyDescent="0.3">
      <c r="A401" s="20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2"/>
    </row>
    <row r="402" spans="1:14" ht="14.4" x14ac:dyDescent="0.3">
      <c r="A402" s="20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14.4" x14ac:dyDescent="0.3">
      <c r="A403" s="20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2"/>
    </row>
    <row r="404" spans="1:14" ht="14.4" x14ac:dyDescent="0.3">
      <c r="A404" s="20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14.4" x14ac:dyDescent="0.3">
      <c r="A405" s="20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2"/>
    </row>
    <row r="406" spans="1:14" ht="14.4" x14ac:dyDescent="0.3">
      <c r="A406" s="20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14.4" x14ac:dyDescent="0.3">
      <c r="A407" s="20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2"/>
    </row>
    <row r="408" spans="1:14" ht="14.4" x14ac:dyDescent="0.3">
      <c r="A408" s="20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14.4" x14ac:dyDescent="0.3">
      <c r="A409" s="20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2"/>
    </row>
    <row r="410" spans="1:14" ht="14.4" x14ac:dyDescent="0.3">
      <c r="A410" s="20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14.4" x14ac:dyDescent="0.3">
      <c r="A411" s="20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2"/>
    </row>
    <row r="412" spans="1:14" ht="14.4" x14ac:dyDescent="0.3">
      <c r="A412" s="20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14.4" x14ac:dyDescent="0.3">
      <c r="A413" s="20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2"/>
    </row>
    <row r="414" spans="1:14" ht="14.4" x14ac:dyDescent="0.3">
      <c r="A414" s="20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14.4" x14ac:dyDescent="0.3">
      <c r="A415" s="20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2"/>
    </row>
    <row r="416" spans="1:14" ht="14.4" x14ac:dyDescent="0.3">
      <c r="A416" s="20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14.4" x14ac:dyDescent="0.3">
      <c r="A417" s="20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2"/>
    </row>
    <row r="418" spans="1:14" ht="14.4" x14ac:dyDescent="0.3">
      <c r="A418" s="20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14.4" x14ac:dyDescent="0.3">
      <c r="A419" s="20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2"/>
    </row>
    <row r="420" spans="1:14" ht="14.4" x14ac:dyDescent="0.3">
      <c r="A420" s="20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14.4" x14ac:dyDescent="0.3">
      <c r="A421" s="20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2"/>
    </row>
    <row r="422" spans="1:14" ht="14.4" x14ac:dyDescent="0.3">
      <c r="A422" s="20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14.4" x14ac:dyDescent="0.3">
      <c r="A423" s="20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2"/>
    </row>
    <row r="424" spans="1:14" ht="14.4" x14ac:dyDescent="0.3">
      <c r="A424" s="20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14.4" x14ac:dyDescent="0.3">
      <c r="A425" s="20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2"/>
    </row>
    <row r="426" spans="1:14" ht="14.4" x14ac:dyDescent="0.3">
      <c r="A426" s="20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14.4" x14ac:dyDescent="0.3">
      <c r="A427" s="20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2"/>
    </row>
    <row r="428" spans="1:14" ht="14.4" x14ac:dyDescent="0.3">
      <c r="A428" s="20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14.4" x14ac:dyDescent="0.3">
      <c r="A429" s="20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2"/>
    </row>
    <row r="430" spans="1:14" ht="14.4" x14ac:dyDescent="0.3">
      <c r="A430" s="20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14.4" x14ac:dyDescent="0.3">
      <c r="A431" s="20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2"/>
    </row>
    <row r="432" spans="1:14" ht="14.4" x14ac:dyDescent="0.3">
      <c r="A432" s="20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14.4" x14ac:dyDescent="0.3">
      <c r="A433" s="20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2"/>
    </row>
    <row r="434" spans="1:14" ht="14.4" x14ac:dyDescent="0.3">
      <c r="A434" s="20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14.4" x14ac:dyDescent="0.3">
      <c r="A435" s="20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2"/>
    </row>
    <row r="436" spans="1:14" ht="14.4" x14ac:dyDescent="0.3">
      <c r="A436" s="20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2"/>
    </row>
    <row r="437" spans="1:14" ht="14.4" x14ac:dyDescent="0.3">
      <c r="A437" s="20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2"/>
    </row>
    <row r="438" spans="1:14" ht="14.4" x14ac:dyDescent="0.3">
      <c r="A438" s="20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14.4" x14ac:dyDescent="0.3">
      <c r="A439" s="20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2"/>
    </row>
    <row r="440" spans="1:14" ht="14.4" x14ac:dyDescent="0.3">
      <c r="A440" s="20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14.4" x14ac:dyDescent="0.3">
      <c r="A441" s="20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2"/>
    </row>
    <row r="442" spans="1:14" ht="14.4" x14ac:dyDescent="0.3">
      <c r="A442" s="20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2"/>
    </row>
    <row r="443" spans="1:14" ht="14.4" x14ac:dyDescent="0.3">
      <c r="A443" s="20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2"/>
    </row>
    <row r="444" spans="1:14" ht="14.4" x14ac:dyDescent="0.3">
      <c r="A444" s="20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2"/>
    </row>
    <row r="445" spans="1:14" ht="14.4" x14ac:dyDescent="0.3">
      <c r="A445" s="20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2"/>
    </row>
    <row r="446" spans="1:14" ht="14.4" x14ac:dyDescent="0.3">
      <c r="A446" s="20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2"/>
    </row>
    <row r="447" spans="1:14" ht="14.4" x14ac:dyDescent="0.3">
      <c r="A447" s="20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2"/>
    </row>
    <row r="448" spans="1:14" ht="14.4" x14ac:dyDescent="0.3">
      <c r="A448" s="20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2"/>
    </row>
    <row r="449" spans="1:14" ht="14.4" x14ac:dyDescent="0.3">
      <c r="A449" s="20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2"/>
    </row>
    <row r="450" spans="1:14" ht="14.4" x14ac:dyDescent="0.3">
      <c r="A450" s="20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2"/>
    </row>
    <row r="451" spans="1:14" ht="14.4" x14ac:dyDescent="0.3">
      <c r="A451" s="20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2"/>
    </row>
    <row r="452" spans="1:14" ht="14.4" x14ac:dyDescent="0.3">
      <c r="A452" s="20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2"/>
    </row>
    <row r="453" spans="1:14" ht="14.4" x14ac:dyDescent="0.3">
      <c r="A453" s="20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2"/>
    </row>
    <row r="454" spans="1:14" ht="14.4" x14ac:dyDescent="0.3">
      <c r="A454" s="20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2"/>
    </row>
    <row r="455" spans="1:14" ht="14.4" x14ac:dyDescent="0.3">
      <c r="A455" s="20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2"/>
    </row>
    <row r="456" spans="1:14" ht="14.4" x14ac:dyDescent="0.3">
      <c r="A456" s="20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2"/>
    </row>
    <row r="457" spans="1:14" ht="14.4" x14ac:dyDescent="0.3">
      <c r="A457" s="20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2"/>
    </row>
    <row r="458" spans="1:14" ht="14.4" x14ac:dyDescent="0.3">
      <c r="A458" s="20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2"/>
    </row>
    <row r="459" spans="1:14" ht="14.4" x14ac:dyDescent="0.3">
      <c r="A459" s="20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2"/>
    </row>
    <row r="460" spans="1:14" ht="14.4" x14ac:dyDescent="0.3">
      <c r="A460" s="20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2"/>
    </row>
    <row r="461" spans="1:14" ht="14.4" x14ac:dyDescent="0.3">
      <c r="A461" s="20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2"/>
    </row>
    <row r="462" spans="1:14" ht="14.4" x14ac:dyDescent="0.3">
      <c r="A462" s="20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2"/>
    </row>
    <row r="463" spans="1:14" ht="14.4" x14ac:dyDescent="0.3">
      <c r="A463" s="20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2"/>
    </row>
    <row r="464" spans="1:14" ht="14.4" x14ac:dyDescent="0.3">
      <c r="A464" s="20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2"/>
    </row>
    <row r="465" spans="1:14" ht="14.4" x14ac:dyDescent="0.3">
      <c r="A465" s="20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2"/>
    </row>
    <row r="466" spans="1:14" ht="14.4" x14ac:dyDescent="0.3">
      <c r="A466" s="20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2"/>
    </row>
    <row r="467" spans="1:14" ht="14.4" x14ac:dyDescent="0.3">
      <c r="A467" s="20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2"/>
    </row>
    <row r="468" spans="1:14" ht="14.4" x14ac:dyDescent="0.3">
      <c r="A468" s="20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2"/>
    </row>
    <row r="469" spans="1:14" ht="14.4" x14ac:dyDescent="0.3">
      <c r="A469" s="20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2"/>
    </row>
    <row r="470" spans="1:14" ht="14.4" x14ac:dyDescent="0.3">
      <c r="A470" s="20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2"/>
    </row>
    <row r="471" spans="1:14" ht="14.4" x14ac:dyDescent="0.3">
      <c r="A471" s="20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2"/>
    </row>
    <row r="472" spans="1:14" ht="14.4" x14ac:dyDescent="0.3">
      <c r="A472" s="20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2"/>
    </row>
    <row r="473" spans="1:14" ht="14.4" x14ac:dyDescent="0.3">
      <c r="A473" s="20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2"/>
    </row>
    <row r="474" spans="1:14" ht="14.4" x14ac:dyDescent="0.3">
      <c r="A474" s="20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2"/>
    </row>
    <row r="475" spans="1:14" ht="14.4" x14ac:dyDescent="0.3">
      <c r="A475" s="20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2"/>
    </row>
    <row r="476" spans="1:14" ht="14.4" x14ac:dyDescent="0.3">
      <c r="A476" s="20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2"/>
    </row>
    <row r="477" spans="1:14" ht="14.4" x14ac:dyDescent="0.3">
      <c r="A477" s="20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2"/>
    </row>
    <row r="478" spans="1:14" ht="14.4" x14ac:dyDescent="0.3">
      <c r="A478" s="20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2"/>
    </row>
    <row r="479" spans="1:14" ht="14.4" x14ac:dyDescent="0.3">
      <c r="A479" s="20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2"/>
    </row>
    <row r="480" spans="1:14" ht="14.4" x14ac:dyDescent="0.3">
      <c r="A480" s="20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2"/>
    </row>
    <row r="481" spans="1:14" ht="14.4" x14ac:dyDescent="0.3">
      <c r="A481" s="20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2"/>
    </row>
    <row r="482" spans="1:14" ht="14.4" x14ac:dyDescent="0.3">
      <c r="A482" s="20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2"/>
    </row>
    <row r="483" spans="1:14" ht="14.4" x14ac:dyDescent="0.3">
      <c r="A483" s="20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2"/>
    </row>
    <row r="484" spans="1:14" ht="14.4" x14ac:dyDescent="0.3">
      <c r="A484" s="20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2"/>
    </row>
    <row r="485" spans="1:14" ht="14.4" x14ac:dyDescent="0.3">
      <c r="A485" s="20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2"/>
    </row>
    <row r="486" spans="1:14" ht="14.4" x14ac:dyDescent="0.3">
      <c r="A486" s="20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2"/>
    </row>
    <row r="487" spans="1:14" ht="14.4" x14ac:dyDescent="0.3">
      <c r="A487" s="20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2"/>
    </row>
    <row r="488" spans="1:14" ht="14.4" x14ac:dyDescent="0.3">
      <c r="A488" s="20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2"/>
    </row>
    <row r="489" spans="1:14" ht="14.4" x14ac:dyDescent="0.3">
      <c r="A489" s="20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2"/>
    </row>
    <row r="490" spans="1:14" ht="14.4" x14ac:dyDescent="0.3">
      <c r="A490" s="20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2"/>
    </row>
    <row r="491" spans="1:14" ht="14.4" x14ac:dyDescent="0.3">
      <c r="A491" s="20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2"/>
    </row>
    <row r="492" spans="1:14" ht="14.4" x14ac:dyDescent="0.3">
      <c r="A492" s="20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2"/>
    </row>
    <row r="493" spans="1:14" ht="14.4" x14ac:dyDescent="0.3">
      <c r="A493" s="20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2"/>
    </row>
    <row r="494" spans="1:14" ht="14.4" x14ac:dyDescent="0.3">
      <c r="A494" s="20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2"/>
    </row>
    <row r="495" spans="1:14" ht="14.4" x14ac:dyDescent="0.3">
      <c r="A495" s="20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2"/>
    </row>
    <row r="496" spans="1:14" ht="14.4" x14ac:dyDescent="0.3">
      <c r="A496" s="20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2"/>
    </row>
    <row r="497" spans="1:14" ht="14.4" x14ac:dyDescent="0.3">
      <c r="A497" s="20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2"/>
    </row>
    <row r="498" spans="1:14" ht="14.4" x14ac:dyDescent="0.3">
      <c r="A498" s="20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14.4" x14ac:dyDescent="0.3">
      <c r="A499" s="20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2"/>
    </row>
    <row r="500" spans="1:14" ht="14.4" x14ac:dyDescent="0.3">
      <c r="A500" s="20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14.4" x14ac:dyDescent="0.3">
      <c r="A501" s="20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2"/>
    </row>
    <row r="502" spans="1:14" ht="14.4" x14ac:dyDescent="0.3">
      <c r="A502" s="20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14.4" x14ac:dyDescent="0.3">
      <c r="A503" s="20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2"/>
    </row>
    <row r="504" spans="1:14" ht="14.4" x14ac:dyDescent="0.3">
      <c r="A504" s="20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14.4" x14ac:dyDescent="0.3">
      <c r="A505" s="20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2"/>
    </row>
    <row r="506" spans="1:14" ht="14.4" x14ac:dyDescent="0.3">
      <c r="A506" s="20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14.4" x14ac:dyDescent="0.3">
      <c r="A507" s="20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2"/>
    </row>
    <row r="508" spans="1:14" ht="14.4" x14ac:dyDescent="0.3">
      <c r="A508" s="20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14.4" x14ac:dyDescent="0.3">
      <c r="A509" s="20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2"/>
    </row>
    <row r="510" spans="1:14" ht="14.4" x14ac:dyDescent="0.3">
      <c r="A510" s="20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14.4" x14ac:dyDescent="0.3">
      <c r="A511" s="20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2"/>
    </row>
    <row r="512" spans="1:14" ht="14.4" x14ac:dyDescent="0.3">
      <c r="A512" s="20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14.4" x14ac:dyDescent="0.3">
      <c r="A513" s="20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2"/>
    </row>
    <row r="514" spans="1:14" ht="14.4" x14ac:dyDescent="0.3">
      <c r="A514" s="20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14.4" x14ac:dyDescent="0.3">
      <c r="A515" s="20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2"/>
    </row>
    <row r="516" spans="1:14" ht="14.4" x14ac:dyDescent="0.3">
      <c r="A516" s="20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14.4" x14ac:dyDescent="0.3">
      <c r="A517" s="20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2"/>
    </row>
    <row r="518" spans="1:14" ht="14.4" x14ac:dyDescent="0.3">
      <c r="A518" s="20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14.4" x14ac:dyDescent="0.3">
      <c r="A519" s="20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2"/>
    </row>
    <row r="520" spans="1:14" ht="14.4" x14ac:dyDescent="0.3">
      <c r="A520" s="20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14.4" x14ac:dyDescent="0.3">
      <c r="A521" s="20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2"/>
    </row>
    <row r="522" spans="1:14" ht="14.4" x14ac:dyDescent="0.3">
      <c r="A522" s="20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14.4" x14ac:dyDescent="0.3">
      <c r="A523" s="20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2"/>
    </row>
    <row r="524" spans="1:14" ht="14.4" x14ac:dyDescent="0.3">
      <c r="A524" s="20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14.4" x14ac:dyDescent="0.3">
      <c r="A525" s="20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2"/>
    </row>
    <row r="526" spans="1:14" ht="14.4" x14ac:dyDescent="0.3">
      <c r="A526" s="20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14.4" x14ac:dyDescent="0.3">
      <c r="A527" s="20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2"/>
    </row>
    <row r="528" spans="1:14" ht="14.4" x14ac:dyDescent="0.3">
      <c r="A528" s="20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14.4" x14ac:dyDescent="0.3">
      <c r="A529" s="20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2"/>
    </row>
    <row r="530" spans="1:14" ht="14.4" x14ac:dyDescent="0.3">
      <c r="A530" s="20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14.4" x14ac:dyDescent="0.3">
      <c r="A531" s="20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2"/>
    </row>
    <row r="532" spans="1:14" ht="14.4" x14ac:dyDescent="0.3">
      <c r="A532" s="20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14.4" x14ac:dyDescent="0.3">
      <c r="A533" s="20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2"/>
    </row>
    <row r="534" spans="1:14" ht="14.4" x14ac:dyDescent="0.3">
      <c r="A534" s="20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14.4" x14ac:dyDescent="0.3">
      <c r="A535" s="20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2"/>
    </row>
    <row r="536" spans="1:14" ht="14.4" x14ac:dyDescent="0.3">
      <c r="A536" s="20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14.4" x14ac:dyDescent="0.3">
      <c r="A537" s="20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2"/>
    </row>
    <row r="538" spans="1:14" ht="14.4" x14ac:dyDescent="0.3">
      <c r="A538" s="20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14.4" x14ac:dyDescent="0.3">
      <c r="A539" s="20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2"/>
    </row>
    <row r="540" spans="1:14" ht="14.4" x14ac:dyDescent="0.3">
      <c r="A540" s="20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14.4" x14ac:dyDescent="0.3">
      <c r="A541" s="20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2"/>
    </row>
    <row r="542" spans="1:14" ht="14.4" x14ac:dyDescent="0.3">
      <c r="A542" s="20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14.4" x14ac:dyDescent="0.3">
      <c r="A543" s="20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2"/>
    </row>
    <row r="544" spans="1:14" ht="14.4" x14ac:dyDescent="0.3">
      <c r="A544" s="20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14.4" x14ac:dyDescent="0.3">
      <c r="A545" s="20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2"/>
    </row>
    <row r="546" spans="1:14" ht="14.4" x14ac:dyDescent="0.3">
      <c r="A546" s="20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14.4" x14ac:dyDescent="0.3">
      <c r="A547" s="20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2"/>
    </row>
    <row r="548" spans="1:14" ht="14.4" x14ac:dyDescent="0.3">
      <c r="A548" s="20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14.4" x14ac:dyDescent="0.3">
      <c r="A549" s="20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2"/>
    </row>
    <row r="550" spans="1:14" ht="14.4" x14ac:dyDescent="0.3">
      <c r="A550" s="20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14.4" x14ac:dyDescent="0.3">
      <c r="A551" s="20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2"/>
    </row>
    <row r="552" spans="1:14" ht="14.4" x14ac:dyDescent="0.3">
      <c r="A552" s="20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2"/>
    </row>
    <row r="553" spans="1:14" ht="14.4" x14ac:dyDescent="0.3">
      <c r="A553" s="20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2"/>
    </row>
    <row r="554" spans="1:14" ht="14.4" x14ac:dyDescent="0.3">
      <c r="A554" s="20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2"/>
    </row>
    <row r="555" spans="1:14" ht="14.4" x14ac:dyDescent="0.3">
      <c r="A555" s="20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2"/>
    </row>
    <row r="556" spans="1:14" ht="14.4" x14ac:dyDescent="0.3">
      <c r="A556" s="20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2"/>
    </row>
    <row r="557" spans="1:14" ht="14.4" x14ac:dyDescent="0.3">
      <c r="A557" s="20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2"/>
    </row>
    <row r="558" spans="1:14" ht="14.4" x14ac:dyDescent="0.3">
      <c r="A558" s="20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2"/>
    </row>
    <row r="559" spans="1:14" ht="14.4" x14ac:dyDescent="0.3">
      <c r="A559" s="20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2"/>
    </row>
    <row r="560" spans="1:14" ht="14.4" x14ac:dyDescent="0.3">
      <c r="A560" s="20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2"/>
    </row>
    <row r="561" spans="1:14" ht="14.4" x14ac:dyDescent="0.3">
      <c r="A561" s="20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2"/>
    </row>
    <row r="562" spans="1:14" ht="14.4" x14ac:dyDescent="0.3">
      <c r="A562" s="20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2"/>
    </row>
    <row r="563" spans="1:14" ht="14.4" x14ac:dyDescent="0.3">
      <c r="A563" s="20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2"/>
    </row>
    <row r="564" spans="1:14" ht="14.4" x14ac:dyDescent="0.3">
      <c r="A564" s="20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2"/>
    </row>
    <row r="565" spans="1:14" ht="14.4" x14ac:dyDescent="0.3">
      <c r="A565" s="20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2"/>
    </row>
    <row r="566" spans="1:14" ht="14.4" x14ac:dyDescent="0.3">
      <c r="A566" s="20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2"/>
    </row>
    <row r="567" spans="1:14" ht="14.4" x14ac:dyDescent="0.3">
      <c r="A567" s="20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2"/>
    </row>
    <row r="568" spans="1:14" ht="14.4" x14ac:dyDescent="0.3">
      <c r="A568" s="20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2"/>
    </row>
    <row r="569" spans="1:14" ht="14.4" x14ac:dyDescent="0.3">
      <c r="A569" s="20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2"/>
    </row>
    <row r="570" spans="1:14" ht="14.4" x14ac:dyDescent="0.3">
      <c r="A570" s="20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2"/>
    </row>
    <row r="571" spans="1:14" ht="14.4" x14ac:dyDescent="0.3">
      <c r="A571" s="20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2"/>
    </row>
    <row r="572" spans="1:14" ht="14.4" x14ac:dyDescent="0.3">
      <c r="A572" s="20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2"/>
    </row>
    <row r="573" spans="1:14" ht="14.4" x14ac:dyDescent="0.3">
      <c r="A573" s="20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2"/>
    </row>
    <row r="574" spans="1:14" ht="14.4" x14ac:dyDescent="0.3">
      <c r="A574" s="20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2"/>
    </row>
    <row r="575" spans="1:14" ht="14.4" x14ac:dyDescent="0.3">
      <c r="A575" s="20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2"/>
    </row>
    <row r="576" spans="1:14" ht="14.4" x14ac:dyDescent="0.3">
      <c r="A576" s="20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2"/>
    </row>
    <row r="577" spans="1:14" ht="14.4" x14ac:dyDescent="0.3">
      <c r="A577" s="20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2"/>
    </row>
    <row r="578" spans="1:14" ht="14.4" x14ac:dyDescent="0.3">
      <c r="A578" s="20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2"/>
    </row>
    <row r="579" spans="1:14" ht="14.4" x14ac:dyDescent="0.3">
      <c r="A579" s="20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2"/>
    </row>
    <row r="580" spans="1:14" ht="14.4" x14ac:dyDescent="0.3">
      <c r="A580" s="20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2"/>
    </row>
    <row r="581" spans="1:14" ht="14.4" x14ac:dyDescent="0.3">
      <c r="A581" s="20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2"/>
    </row>
    <row r="582" spans="1:14" ht="14.4" x14ac:dyDescent="0.3">
      <c r="A582" s="20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2"/>
    </row>
    <row r="583" spans="1:14" ht="14.4" x14ac:dyDescent="0.3">
      <c r="A583" s="20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2"/>
    </row>
    <row r="584" spans="1:14" ht="14.4" x14ac:dyDescent="0.3">
      <c r="A584" s="20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2"/>
    </row>
    <row r="585" spans="1:14" ht="14.4" x14ac:dyDescent="0.3">
      <c r="A585" s="20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2"/>
    </row>
    <row r="586" spans="1:14" ht="14.4" x14ac:dyDescent="0.3">
      <c r="A586" s="20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2"/>
    </row>
    <row r="587" spans="1:14" ht="14.4" x14ac:dyDescent="0.3">
      <c r="A587" s="20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2"/>
    </row>
    <row r="588" spans="1:14" ht="14.4" x14ac:dyDescent="0.3">
      <c r="A588" s="20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2"/>
    </row>
    <row r="589" spans="1:14" ht="14.4" x14ac:dyDescent="0.3">
      <c r="A589" s="20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2"/>
    </row>
    <row r="590" spans="1:14" ht="14.4" x14ac:dyDescent="0.3">
      <c r="A590" s="20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2"/>
    </row>
    <row r="591" spans="1:14" ht="14.4" x14ac:dyDescent="0.3">
      <c r="A591" s="20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2"/>
    </row>
    <row r="592" spans="1:14" ht="14.4" x14ac:dyDescent="0.3">
      <c r="A592" s="20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2"/>
    </row>
    <row r="593" spans="1:14" ht="14.4" x14ac:dyDescent="0.3">
      <c r="A593" s="20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2"/>
    </row>
    <row r="594" spans="1:14" ht="14.4" x14ac:dyDescent="0.3">
      <c r="A594" s="20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2"/>
    </row>
    <row r="595" spans="1:14" ht="14.4" x14ac:dyDescent="0.3">
      <c r="A595" s="20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2"/>
    </row>
    <row r="596" spans="1:14" ht="14.4" x14ac:dyDescent="0.3">
      <c r="A596" s="20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2"/>
    </row>
    <row r="597" spans="1:14" ht="14.4" x14ac:dyDescent="0.3">
      <c r="A597" s="20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2"/>
    </row>
    <row r="598" spans="1:14" ht="14.4" x14ac:dyDescent="0.3">
      <c r="A598" s="20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2"/>
    </row>
    <row r="599" spans="1:14" ht="14.4" x14ac:dyDescent="0.3">
      <c r="A599" s="20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2"/>
    </row>
    <row r="600" spans="1:14" ht="14.4" x14ac:dyDescent="0.3">
      <c r="A600" s="20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2"/>
    </row>
    <row r="601" spans="1:14" ht="14.4" x14ac:dyDescent="0.3">
      <c r="A601" s="20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2"/>
    </row>
    <row r="602" spans="1:14" ht="14.4" x14ac:dyDescent="0.3">
      <c r="A602" s="20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2"/>
    </row>
    <row r="603" spans="1:14" ht="14.4" x14ac:dyDescent="0.3">
      <c r="A603" s="20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2"/>
    </row>
    <row r="604" spans="1:14" ht="14.4" x14ac:dyDescent="0.3">
      <c r="A604" s="20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2"/>
    </row>
    <row r="605" spans="1:14" ht="14.4" x14ac:dyDescent="0.3">
      <c r="A605" s="20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2"/>
    </row>
    <row r="606" spans="1:14" ht="14.4" x14ac:dyDescent="0.3">
      <c r="A606" s="20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2"/>
    </row>
    <row r="607" spans="1:14" ht="14.4" x14ac:dyDescent="0.3">
      <c r="A607" s="20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2"/>
    </row>
    <row r="608" spans="1:14" ht="14.4" x14ac:dyDescent="0.3">
      <c r="A608" s="20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14.4" x14ac:dyDescent="0.3">
      <c r="A609" s="20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2"/>
    </row>
    <row r="610" spans="1:14" ht="14.4" x14ac:dyDescent="0.3">
      <c r="A610" s="20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14.4" x14ac:dyDescent="0.3">
      <c r="A611" s="20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2"/>
    </row>
    <row r="612" spans="1:14" ht="14.4" x14ac:dyDescent="0.3">
      <c r="A612" s="20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2"/>
    </row>
    <row r="613" spans="1:14" ht="14.4" x14ac:dyDescent="0.3">
      <c r="A613" s="20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2"/>
    </row>
    <row r="614" spans="1:14" ht="14.4" x14ac:dyDescent="0.3">
      <c r="A614" s="20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14.4" x14ac:dyDescent="0.3">
      <c r="A615" s="20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2"/>
    </row>
    <row r="616" spans="1:14" ht="14.4" x14ac:dyDescent="0.3">
      <c r="A616" s="20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14.4" x14ac:dyDescent="0.3">
      <c r="A617" s="20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2"/>
    </row>
    <row r="618" spans="1:14" ht="14.4" x14ac:dyDescent="0.3">
      <c r="A618" s="20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14.4" x14ac:dyDescent="0.3">
      <c r="A619" s="20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2"/>
    </row>
    <row r="620" spans="1:14" ht="14.4" x14ac:dyDescent="0.3">
      <c r="A620" s="20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14.4" x14ac:dyDescent="0.3">
      <c r="A621" s="20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2"/>
    </row>
    <row r="622" spans="1:14" ht="14.4" x14ac:dyDescent="0.3">
      <c r="A622" s="20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14.4" x14ac:dyDescent="0.3">
      <c r="A623" s="20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2"/>
    </row>
    <row r="624" spans="1:14" ht="14.4" x14ac:dyDescent="0.3">
      <c r="A624" s="20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14.4" x14ac:dyDescent="0.3">
      <c r="A625" s="20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2"/>
    </row>
    <row r="626" spans="1:14" ht="14.4" x14ac:dyDescent="0.3">
      <c r="A626" s="20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2"/>
    </row>
    <row r="627" spans="1:14" ht="14.4" x14ac:dyDescent="0.3">
      <c r="A627" s="20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2"/>
    </row>
    <row r="628" spans="1:14" ht="14.4" x14ac:dyDescent="0.3">
      <c r="A628" s="20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14.4" x14ac:dyDescent="0.3">
      <c r="A629" s="20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2"/>
    </row>
    <row r="630" spans="1:14" ht="14.4" x14ac:dyDescent="0.3">
      <c r="A630" s="20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14.4" x14ac:dyDescent="0.3">
      <c r="A631" s="20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2"/>
    </row>
    <row r="632" spans="1:14" ht="14.4" x14ac:dyDescent="0.3">
      <c r="A632" s="20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14.4" x14ac:dyDescent="0.3">
      <c r="A633" s="20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2"/>
    </row>
    <row r="634" spans="1:14" ht="14.4" x14ac:dyDescent="0.3">
      <c r="A634" s="20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14.4" x14ac:dyDescent="0.3">
      <c r="A635" s="20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2"/>
    </row>
    <row r="636" spans="1:14" ht="14.4" x14ac:dyDescent="0.3">
      <c r="A636" s="20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14.4" x14ac:dyDescent="0.3">
      <c r="A637" s="20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2"/>
    </row>
    <row r="638" spans="1:14" ht="14.4" x14ac:dyDescent="0.3">
      <c r="A638" s="20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14.4" x14ac:dyDescent="0.3">
      <c r="A639" s="20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2"/>
    </row>
    <row r="640" spans="1:14" ht="14.4" x14ac:dyDescent="0.3">
      <c r="A640" s="20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2"/>
    </row>
    <row r="641" spans="1:14" ht="14.4" x14ac:dyDescent="0.3">
      <c r="A641" s="20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2"/>
    </row>
    <row r="642" spans="1:14" ht="14.4" x14ac:dyDescent="0.3">
      <c r="A642" s="20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14.4" x14ac:dyDescent="0.3">
      <c r="A643" s="20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2"/>
    </row>
    <row r="644" spans="1:14" ht="14.4" x14ac:dyDescent="0.3">
      <c r="A644" s="20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14.4" x14ac:dyDescent="0.3">
      <c r="A645" s="20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2"/>
    </row>
    <row r="646" spans="1:14" ht="14.4" x14ac:dyDescent="0.3">
      <c r="A646" s="20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2"/>
    </row>
    <row r="647" spans="1:14" ht="14.4" x14ac:dyDescent="0.3">
      <c r="A647" s="20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2"/>
    </row>
    <row r="648" spans="1:14" ht="14.4" x14ac:dyDescent="0.3">
      <c r="A648" s="20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14.4" x14ac:dyDescent="0.3">
      <c r="A649" s="20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2"/>
    </row>
    <row r="650" spans="1:14" ht="14.4" x14ac:dyDescent="0.3">
      <c r="A650" s="20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14.4" x14ac:dyDescent="0.3">
      <c r="A651" s="20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2"/>
    </row>
    <row r="652" spans="1:14" ht="14.4" x14ac:dyDescent="0.3">
      <c r="A652" s="20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14.4" x14ac:dyDescent="0.3">
      <c r="A653" s="20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2"/>
    </row>
    <row r="654" spans="1:14" ht="14.4" x14ac:dyDescent="0.3">
      <c r="A654" s="20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14.4" x14ac:dyDescent="0.3">
      <c r="A655" s="20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2"/>
    </row>
    <row r="656" spans="1:14" ht="14.4" x14ac:dyDescent="0.3">
      <c r="A656" s="20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2"/>
    </row>
    <row r="657" spans="1:14" ht="14.4" x14ac:dyDescent="0.3">
      <c r="A657" s="20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2"/>
    </row>
    <row r="658" spans="1:14" ht="14.4" x14ac:dyDescent="0.3">
      <c r="A658" s="20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2"/>
    </row>
    <row r="659" spans="1:14" ht="14.4" x14ac:dyDescent="0.3">
      <c r="A659" s="20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2"/>
    </row>
    <row r="660" spans="1:14" ht="14.4" x14ac:dyDescent="0.3">
      <c r="A660" s="20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2"/>
    </row>
    <row r="661" spans="1:14" ht="14.4" x14ac:dyDescent="0.3">
      <c r="A661" s="20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2"/>
    </row>
    <row r="662" spans="1:14" ht="14.4" x14ac:dyDescent="0.3">
      <c r="A662" s="20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2"/>
    </row>
    <row r="663" spans="1:14" ht="14.4" x14ac:dyDescent="0.3">
      <c r="A663" s="20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2"/>
    </row>
    <row r="664" spans="1:14" ht="14.4" x14ac:dyDescent="0.3">
      <c r="A664" s="20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2"/>
    </row>
    <row r="665" spans="1:14" ht="14.4" x14ac:dyDescent="0.3">
      <c r="A665" s="20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2"/>
    </row>
    <row r="666" spans="1:14" ht="14.4" x14ac:dyDescent="0.3">
      <c r="A666" s="20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2"/>
    </row>
    <row r="667" spans="1:14" ht="14.4" x14ac:dyDescent="0.3">
      <c r="A667" s="20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2"/>
    </row>
    <row r="668" spans="1:14" ht="14.4" x14ac:dyDescent="0.3">
      <c r="A668" s="20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2"/>
    </row>
    <row r="669" spans="1:14" ht="14.4" x14ac:dyDescent="0.3">
      <c r="A669" s="20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2"/>
    </row>
    <row r="670" spans="1:14" ht="14.4" x14ac:dyDescent="0.3">
      <c r="A670" s="20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2"/>
    </row>
    <row r="671" spans="1:14" ht="14.4" x14ac:dyDescent="0.3">
      <c r="A671" s="20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2"/>
    </row>
    <row r="672" spans="1:14" ht="14.4" x14ac:dyDescent="0.3">
      <c r="A672" s="20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2"/>
    </row>
    <row r="673" spans="1:14" ht="14.4" x14ac:dyDescent="0.3">
      <c r="A673" s="20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2"/>
    </row>
    <row r="674" spans="1:14" ht="14.4" x14ac:dyDescent="0.3">
      <c r="A674" s="20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2"/>
    </row>
    <row r="675" spans="1:14" ht="14.4" x14ac:dyDescent="0.3">
      <c r="A675" s="20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2"/>
    </row>
    <row r="676" spans="1:14" ht="14.4" x14ac:dyDescent="0.3">
      <c r="A676" s="20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2"/>
    </row>
    <row r="677" spans="1:14" ht="14.4" x14ac:dyDescent="0.3">
      <c r="A677" s="20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2"/>
    </row>
    <row r="678" spans="1:14" ht="14.4" x14ac:dyDescent="0.3">
      <c r="A678" s="20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2"/>
    </row>
    <row r="679" spans="1:14" ht="14.4" x14ac:dyDescent="0.3">
      <c r="A679" s="20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2"/>
    </row>
    <row r="680" spans="1:14" ht="14.4" x14ac:dyDescent="0.3">
      <c r="A680" s="20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2"/>
    </row>
    <row r="681" spans="1:14" ht="14.4" x14ac:dyDescent="0.3">
      <c r="A681" s="20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2"/>
    </row>
    <row r="682" spans="1:14" ht="14.4" x14ac:dyDescent="0.3">
      <c r="A682" s="20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2"/>
    </row>
    <row r="683" spans="1:14" ht="14.4" x14ac:dyDescent="0.3">
      <c r="A683" s="20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2"/>
    </row>
    <row r="684" spans="1:14" ht="14.4" x14ac:dyDescent="0.3">
      <c r="A684" s="20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2"/>
    </row>
    <row r="685" spans="1:14" ht="14.4" x14ac:dyDescent="0.3">
      <c r="A685" s="20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2"/>
    </row>
    <row r="686" spans="1:14" ht="14.4" x14ac:dyDescent="0.3">
      <c r="A686" s="20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2"/>
    </row>
    <row r="687" spans="1:14" ht="14.4" x14ac:dyDescent="0.3">
      <c r="A687" s="20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2"/>
    </row>
    <row r="688" spans="1:14" ht="14.4" x14ac:dyDescent="0.3">
      <c r="A688" s="20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2"/>
    </row>
    <row r="689" spans="1:14" ht="14.4" x14ac:dyDescent="0.3">
      <c r="A689" s="20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2"/>
    </row>
    <row r="690" spans="1:14" ht="14.4" x14ac:dyDescent="0.3">
      <c r="A690" s="20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2"/>
    </row>
    <row r="691" spans="1:14" ht="14.4" x14ac:dyDescent="0.3">
      <c r="A691" s="20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2"/>
    </row>
    <row r="692" spans="1:14" ht="14.4" x14ac:dyDescent="0.3">
      <c r="A692" s="20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2"/>
    </row>
    <row r="693" spans="1:14" ht="14.4" x14ac:dyDescent="0.3">
      <c r="A693" s="20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2"/>
    </row>
    <row r="694" spans="1:14" ht="14.4" x14ac:dyDescent="0.3">
      <c r="A694" s="20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2"/>
    </row>
    <row r="695" spans="1:14" ht="14.4" x14ac:dyDescent="0.3">
      <c r="A695" s="20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2"/>
    </row>
    <row r="696" spans="1:14" ht="14.4" x14ac:dyDescent="0.3">
      <c r="A696" s="20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2"/>
    </row>
    <row r="697" spans="1:14" ht="14.4" x14ac:dyDescent="0.3">
      <c r="A697" s="20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2"/>
    </row>
    <row r="698" spans="1:14" ht="14.4" x14ac:dyDescent="0.3">
      <c r="A698" s="20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2"/>
    </row>
    <row r="699" spans="1:14" ht="14.4" x14ac:dyDescent="0.3">
      <c r="A699" s="20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2"/>
    </row>
    <row r="700" spans="1:14" ht="14.4" x14ac:dyDescent="0.3">
      <c r="A700" s="20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2"/>
    </row>
    <row r="701" spans="1:14" ht="14.4" x14ac:dyDescent="0.3">
      <c r="A701" s="20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2"/>
    </row>
    <row r="702" spans="1:14" ht="14.4" x14ac:dyDescent="0.3">
      <c r="A702" s="20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2"/>
    </row>
    <row r="703" spans="1:14" ht="14.4" x14ac:dyDescent="0.3">
      <c r="A703" s="20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2"/>
    </row>
    <row r="704" spans="1:14" ht="14.4" x14ac:dyDescent="0.3">
      <c r="A704" s="20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2"/>
    </row>
    <row r="705" spans="1:14" ht="14.4" x14ac:dyDescent="0.3">
      <c r="A705" s="20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2"/>
    </row>
    <row r="706" spans="1:14" ht="14.4" x14ac:dyDescent="0.3">
      <c r="A706" s="20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2"/>
    </row>
    <row r="707" spans="1:14" ht="14.4" x14ac:dyDescent="0.3">
      <c r="A707" s="20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2"/>
    </row>
    <row r="708" spans="1:14" ht="14.4" x14ac:dyDescent="0.3">
      <c r="A708" s="20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2"/>
    </row>
    <row r="709" spans="1:14" ht="14.4" x14ac:dyDescent="0.3">
      <c r="A709" s="20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2"/>
    </row>
    <row r="710" spans="1:14" ht="14.4" x14ac:dyDescent="0.3">
      <c r="A710" s="20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2"/>
    </row>
    <row r="711" spans="1:14" ht="14.4" x14ac:dyDescent="0.3">
      <c r="A711" s="20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2"/>
    </row>
    <row r="712" spans="1:14" ht="14.4" x14ac:dyDescent="0.3">
      <c r="A712" s="20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2"/>
    </row>
    <row r="713" spans="1:14" ht="14.4" x14ac:dyDescent="0.3">
      <c r="A713" s="20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2"/>
    </row>
    <row r="714" spans="1:14" ht="14.4" x14ac:dyDescent="0.3">
      <c r="A714" s="20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2"/>
    </row>
    <row r="715" spans="1:14" ht="14.4" x14ac:dyDescent="0.3">
      <c r="A715" s="20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2"/>
    </row>
    <row r="716" spans="1:14" ht="14.4" x14ac:dyDescent="0.3">
      <c r="A716" s="20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2"/>
    </row>
    <row r="717" spans="1:14" ht="14.4" x14ac:dyDescent="0.3">
      <c r="A717" s="20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2"/>
    </row>
    <row r="718" spans="1:14" ht="14.4" x14ac:dyDescent="0.3">
      <c r="A718" s="20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2"/>
    </row>
    <row r="719" spans="1:14" ht="14.4" x14ac:dyDescent="0.3">
      <c r="A719" s="20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2"/>
    </row>
    <row r="720" spans="1:14" ht="14.4" x14ac:dyDescent="0.3">
      <c r="A720" s="20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2"/>
    </row>
    <row r="721" spans="1:14" ht="14.4" x14ac:dyDescent="0.3">
      <c r="A721" s="20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2"/>
    </row>
    <row r="722" spans="1:14" ht="14.4" x14ac:dyDescent="0.3">
      <c r="A722" s="20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2"/>
    </row>
    <row r="723" spans="1:14" ht="14.4" x14ac:dyDescent="0.3">
      <c r="A723" s="20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2"/>
    </row>
    <row r="724" spans="1:14" ht="14.4" x14ac:dyDescent="0.3">
      <c r="A724" s="20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14.4" x14ac:dyDescent="0.3">
      <c r="A725" s="20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2"/>
    </row>
    <row r="726" spans="1:14" ht="14.4" x14ac:dyDescent="0.3">
      <c r="A726" s="20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14.4" x14ac:dyDescent="0.3">
      <c r="A727" s="20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2"/>
    </row>
    <row r="728" spans="1:14" ht="14.4" x14ac:dyDescent="0.3">
      <c r="A728" s="20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14.4" x14ac:dyDescent="0.3">
      <c r="A729" s="20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2"/>
    </row>
    <row r="730" spans="1:14" ht="14.4" x14ac:dyDescent="0.3">
      <c r="A730" s="20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14.4" x14ac:dyDescent="0.3">
      <c r="A731" s="20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2"/>
    </row>
    <row r="732" spans="1:14" ht="14.4" x14ac:dyDescent="0.3">
      <c r="A732" s="20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14.4" x14ac:dyDescent="0.3">
      <c r="A733" s="20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2"/>
    </row>
    <row r="734" spans="1:14" ht="14.4" x14ac:dyDescent="0.3">
      <c r="A734" s="20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14.4" x14ac:dyDescent="0.3">
      <c r="A735" s="20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2"/>
    </row>
    <row r="736" spans="1:14" ht="14.4" x14ac:dyDescent="0.3">
      <c r="A736" s="20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2"/>
    </row>
    <row r="737" spans="1:14" ht="14.4" x14ac:dyDescent="0.3">
      <c r="A737" s="20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2"/>
    </row>
    <row r="738" spans="1:14" ht="14.4" x14ac:dyDescent="0.3">
      <c r="A738" s="20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14.4" x14ac:dyDescent="0.3">
      <c r="A739" s="20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2"/>
    </row>
    <row r="740" spans="1:14" ht="14.4" x14ac:dyDescent="0.3">
      <c r="A740" s="20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14.4" x14ac:dyDescent="0.3">
      <c r="A741" s="20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2"/>
    </row>
    <row r="742" spans="1:14" ht="14.4" x14ac:dyDescent="0.3">
      <c r="A742" s="20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2"/>
    </row>
    <row r="743" spans="1:14" ht="14.4" x14ac:dyDescent="0.3">
      <c r="A743" s="20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2"/>
    </row>
    <row r="744" spans="1:14" ht="14.4" x14ac:dyDescent="0.3">
      <c r="A744" s="20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14.4" x14ac:dyDescent="0.3">
      <c r="A745" s="20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2"/>
    </row>
    <row r="746" spans="1:14" ht="14.4" x14ac:dyDescent="0.3">
      <c r="A746" s="20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14.4" x14ac:dyDescent="0.3">
      <c r="A747" s="20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2"/>
    </row>
    <row r="748" spans="1:14" ht="14.4" x14ac:dyDescent="0.3">
      <c r="A748" s="20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14.4" x14ac:dyDescent="0.3">
      <c r="A749" s="20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2"/>
    </row>
    <row r="750" spans="1:14" ht="14.4" x14ac:dyDescent="0.3">
      <c r="A750" s="20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2"/>
    </row>
    <row r="751" spans="1:14" ht="14.4" x14ac:dyDescent="0.3">
      <c r="A751" s="20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2"/>
    </row>
    <row r="752" spans="1:14" ht="14.4" x14ac:dyDescent="0.3">
      <c r="A752" s="20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14.4" x14ac:dyDescent="0.3">
      <c r="A753" s="20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2"/>
    </row>
    <row r="754" spans="1:14" ht="14.4" x14ac:dyDescent="0.3">
      <c r="A754" s="20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14.4" x14ac:dyDescent="0.3">
      <c r="A755" s="20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2"/>
    </row>
    <row r="756" spans="1:14" ht="14.4" x14ac:dyDescent="0.3">
      <c r="A756" s="20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2"/>
    </row>
    <row r="757" spans="1:14" ht="14.4" x14ac:dyDescent="0.3">
      <c r="A757" s="20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2"/>
    </row>
    <row r="758" spans="1:14" ht="14.4" x14ac:dyDescent="0.3">
      <c r="A758" s="20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14.4" x14ac:dyDescent="0.3">
      <c r="A759" s="20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2"/>
    </row>
    <row r="760" spans="1:14" ht="14.4" x14ac:dyDescent="0.3">
      <c r="A760" s="20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14.4" x14ac:dyDescent="0.3">
      <c r="A761" s="20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2"/>
    </row>
    <row r="762" spans="1:14" ht="14.4" x14ac:dyDescent="0.3">
      <c r="A762" s="20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14.4" x14ac:dyDescent="0.3">
      <c r="A763" s="20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2"/>
    </row>
    <row r="764" spans="1:14" ht="14.4" x14ac:dyDescent="0.3">
      <c r="A764" s="20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14.4" x14ac:dyDescent="0.3">
      <c r="A765" s="20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2"/>
    </row>
    <row r="766" spans="1:14" ht="14.4" x14ac:dyDescent="0.3">
      <c r="A766" s="20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2"/>
    </row>
    <row r="767" spans="1:14" ht="14.4" x14ac:dyDescent="0.3">
      <c r="A767" s="20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2"/>
    </row>
    <row r="768" spans="1:14" ht="14.4" x14ac:dyDescent="0.3">
      <c r="A768" s="20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</row>
    <row r="769" spans="1:14" ht="14.4" x14ac:dyDescent="0.3">
      <c r="A769" s="20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2"/>
    </row>
    <row r="770" spans="1:14" ht="14.4" x14ac:dyDescent="0.3">
      <c r="A770" s="20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2"/>
    </row>
    <row r="771" spans="1:14" ht="14.4" x14ac:dyDescent="0.3">
      <c r="A771" s="20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2"/>
    </row>
    <row r="772" spans="1:14" ht="14.4" x14ac:dyDescent="0.3">
      <c r="A772" s="20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2"/>
    </row>
    <row r="773" spans="1:14" ht="14.4" x14ac:dyDescent="0.3">
      <c r="A773" s="20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2"/>
    </row>
    <row r="774" spans="1:14" ht="14.4" x14ac:dyDescent="0.3">
      <c r="A774" s="20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2"/>
    </row>
    <row r="775" spans="1:14" ht="14.4" x14ac:dyDescent="0.3">
      <c r="A775" s="20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2"/>
    </row>
    <row r="776" spans="1:14" ht="14.4" x14ac:dyDescent="0.3">
      <c r="A776" s="20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2"/>
    </row>
    <row r="777" spans="1:14" ht="14.4" x14ac:dyDescent="0.3">
      <c r="A777" s="20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2"/>
    </row>
    <row r="778" spans="1:14" ht="14.4" x14ac:dyDescent="0.3">
      <c r="A778" s="20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2"/>
    </row>
    <row r="779" spans="1:14" ht="14.4" x14ac:dyDescent="0.3">
      <c r="A779" s="20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2"/>
    </row>
    <row r="780" spans="1:14" ht="14.4" x14ac:dyDescent="0.3">
      <c r="A780" s="20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2"/>
    </row>
    <row r="781" spans="1:14" ht="14.4" x14ac:dyDescent="0.3">
      <c r="A781" s="20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2"/>
    </row>
    <row r="782" spans="1:14" ht="14.4" x14ac:dyDescent="0.3">
      <c r="A782" s="20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2"/>
    </row>
    <row r="783" spans="1:14" ht="14.4" x14ac:dyDescent="0.3">
      <c r="A783" s="20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2"/>
    </row>
    <row r="784" spans="1:14" ht="14.4" x14ac:dyDescent="0.3">
      <c r="A784" s="20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2"/>
    </row>
    <row r="785" spans="1:14" ht="14.4" x14ac:dyDescent="0.3">
      <c r="A785" s="20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2"/>
    </row>
    <row r="786" spans="1:14" ht="14.4" x14ac:dyDescent="0.3">
      <c r="A786" s="20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2"/>
    </row>
    <row r="787" spans="1:14" ht="14.4" x14ac:dyDescent="0.3">
      <c r="A787" s="20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2"/>
    </row>
    <row r="788" spans="1:14" ht="14.4" x14ac:dyDescent="0.3">
      <c r="A788" s="20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2"/>
    </row>
    <row r="789" spans="1:14" ht="14.4" x14ac:dyDescent="0.3">
      <c r="A789" s="20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2"/>
    </row>
    <row r="790" spans="1:14" ht="14.4" x14ac:dyDescent="0.3">
      <c r="A790" s="20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2"/>
    </row>
    <row r="791" spans="1:14" ht="14.4" x14ac:dyDescent="0.3">
      <c r="A791" s="20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2"/>
    </row>
    <row r="792" spans="1:14" ht="14.4" x14ac:dyDescent="0.3">
      <c r="A792" s="20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2"/>
    </row>
    <row r="793" spans="1:14" ht="14.4" x14ac:dyDescent="0.3">
      <c r="A793" s="20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2"/>
    </row>
    <row r="794" spans="1:14" ht="14.4" x14ac:dyDescent="0.3">
      <c r="A794" s="20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2"/>
    </row>
    <row r="795" spans="1:14" ht="14.4" x14ac:dyDescent="0.3">
      <c r="A795" s="20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2"/>
    </row>
    <row r="796" spans="1:14" ht="14.4" x14ac:dyDescent="0.3">
      <c r="A796" s="20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2"/>
    </row>
    <row r="797" spans="1:14" ht="14.4" x14ac:dyDescent="0.3">
      <c r="A797" s="20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2"/>
    </row>
    <row r="798" spans="1:14" ht="14.4" x14ac:dyDescent="0.3">
      <c r="A798" s="20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2"/>
    </row>
    <row r="799" spans="1:14" ht="14.4" x14ac:dyDescent="0.3">
      <c r="A799" s="20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2"/>
    </row>
    <row r="800" spans="1:14" ht="14.4" x14ac:dyDescent="0.3">
      <c r="A800" s="20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2"/>
    </row>
    <row r="801" spans="1:14" ht="14.4" x14ac:dyDescent="0.3">
      <c r="A801" s="20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2"/>
    </row>
    <row r="802" spans="1:14" ht="14.4" x14ac:dyDescent="0.3">
      <c r="A802" s="20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2"/>
    </row>
    <row r="803" spans="1:14" ht="14.4" x14ac:dyDescent="0.3">
      <c r="A803" s="20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2"/>
    </row>
    <row r="804" spans="1:14" ht="14.4" x14ac:dyDescent="0.3">
      <c r="A804" s="20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2"/>
    </row>
    <row r="805" spans="1:14" ht="14.4" x14ac:dyDescent="0.3">
      <c r="A805" s="20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2"/>
    </row>
    <row r="806" spans="1:14" ht="14.4" x14ac:dyDescent="0.3">
      <c r="A806" s="20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2"/>
    </row>
    <row r="807" spans="1:14" ht="14.4" x14ac:dyDescent="0.3">
      <c r="A807" s="20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2"/>
    </row>
    <row r="808" spans="1:14" ht="14.4" x14ac:dyDescent="0.3">
      <c r="A808" s="20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2"/>
    </row>
    <row r="809" spans="1:14" ht="14.4" x14ac:dyDescent="0.3">
      <c r="A809" s="20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2"/>
    </row>
    <row r="810" spans="1:14" ht="14.4" x14ac:dyDescent="0.3">
      <c r="A810" s="20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2"/>
    </row>
    <row r="811" spans="1:14" ht="14.4" x14ac:dyDescent="0.3">
      <c r="A811" s="20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2"/>
    </row>
    <row r="812" spans="1:14" ht="14.4" x14ac:dyDescent="0.3">
      <c r="A812" s="20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2"/>
    </row>
    <row r="813" spans="1:14" ht="14.4" x14ac:dyDescent="0.3">
      <c r="A813" s="20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2"/>
    </row>
    <row r="814" spans="1:14" ht="14.4" x14ac:dyDescent="0.3">
      <c r="A814" s="20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2"/>
    </row>
    <row r="815" spans="1:14" ht="14.4" x14ac:dyDescent="0.3">
      <c r="A815" s="20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2"/>
    </row>
    <row r="816" spans="1:14" ht="14.4" x14ac:dyDescent="0.3">
      <c r="A816" s="20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2"/>
    </row>
    <row r="817" spans="1:14" ht="14.4" x14ac:dyDescent="0.3">
      <c r="A817" s="20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2"/>
    </row>
    <row r="818" spans="1:14" ht="14.4" x14ac:dyDescent="0.3">
      <c r="A818" s="20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2"/>
    </row>
    <row r="819" spans="1:14" ht="14.4" x14ac:dyDescent="0.3">
      <c r="A819" s="20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2"/>
    </row>
    <row r="820" spans="1:14" ht="14.4" x14ac:dyDescent="0.3">
      <c r="A820" s="20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2"/>
    </row>
    <row r="821" spans="1:14" ht="14.4" x14ac:dyDescent="0.3">
      <c r="A821" s="20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2"/>
    </row>
    <row r="822" spans="1:14" ht="14.4" x14ac:dyDescent="0.3">
      <c r="A822" s="20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2"/>
    </row>
    <row r="823" spans="1:14" ht="14.4" x14ac:dyDescent="0.3">
      <c r="A823" s="20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2"/>
    </row>
    <row r="824" spans="1:14" ht="14.4" x14ac:dyDescent="0.3">
      <c r="A824" s="20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2"/>
    </row>
    <row r="825" spans="1:14" ht="14.4" x14ac:dyDescent="0.3">
      <c r="A825" s="20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2"/>
    </row>
    <row r="826" spans="1:14" ht="14.4" x14ac:dyDescent="0.3">
      <c r="A826" s="20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2"/>
    </row>
    <row r="827" spans="1:14" ht="14.4" x14ac:dyDescent="0.3">
      <c r="A827" s="20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2"/>
    </row>
    <row r="828" spans="1:14" ht="14.4" x14ac:dyDescent="0.3">
      <c r="A828" s="20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2"/>
    </row>
    <row r="829" spans="1:14" ht="14.4" x14ac:dyDescent="0.3">
      <c r="A829" s="20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2"/>
    </row>
    <row r="830" spans="1:14" ht="14.4" x14ac:dyDescent="0.3">
      <c r="A830" s="20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14.4" x14ac:dyDescent="0.3">
      <c r="A831" s="20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2"/>
    </row>
    <row r="832" spans="1:14" ht="14.4" x14ac:dyDescent="0.3">
      <c r="A832" s="20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2"/>
    </row>
    <row r="833" spans="1:14" ht="14.4" x14ac:dyDescent="0.3">
      <c r="A833" s="20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2"/>
    </row>
    <row r="834" spans="1:14" ht="14.4" x14ac:dyDescent="0.3">
      <c r="A834" s="20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14.4" x14ac:dyDescent="0.3">
      <c r="A835" s="20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2"/>
    </row>
    <row r="836" spans="1:14" ht="14.4" x14ac:dyDescent="0.3">
      <c r="A836" s="20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14.4" x14ac:dyDescent="0.3">
      <c r="A837" s="20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2"/>
    </row>
    <row r="838" spans="1:14" ht="14.4" x14ac:dyDescent="0.3">
      <c r="A838" s="20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14.4" x14ac:dyDescent="0.3">
      <c r="A839" s="20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2"/>
    </row>
    <row r="840" spans="1:14" ht="14.4" x14ac:dyDescent="0.3">
      <c r="A840" s="20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14.4" x14ac:dyDescent="0.3">
      <c r="A841" s="20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2"/>
    </row>
    <row r="842" spans="1:14" ht="14.4" x14ac:dyDescent="0.3">
      <c r="A842" s="20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14.4" x14ac:dyDescent="0.3">
      <c r="A843" s="20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2"/>
    </row>
    <row r="844" spans="1:14" ht="14.4" x14ac:dyDescent="0.3">
      <c r="A844" s="20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14.4" x14ac:dyDescent="0.3">
      <c r="A845" s="20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2"/>
    </row>
    <row r="846" spans="1:14" ht="14.4" x14ac:dyDescent="0.3">
      <c r="A846" s="20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2"/>
    </row>
    <row r="847" spans="1:14" ht="14.4" x14ac:dyDescent="0.3">
      <c r="A847" s="20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2"/>
    </row>
    <row r="848" spans="1:14" ht="14.4" x14ac:dyDescent="0.3">
      <c r="A848" s="20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14.4" x14ac:dyDescent="0.3">
      <c r="A849" s="20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2"/>
    </row>
    <row r="850" spans="1:14" ht="14.4" x14ac:dyDescent="0.3">
      <c r="A850" s="20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14.4" x14ac:dyDescent="0.3">
      <c r="A851" s="20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2"/>
    </row>
    <row r="852" spans="1:14" ht="14.4" x14ac:dyDescent="0.3">
      <c r="A852" s="20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2"/>
    </row>
    <row r="853" spans="1:14" ht="14.4" x14ac:dyDescent="0.3">
      <c r="A853" s="20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2"/>
    </row>
    <row r="854" spans="1:14" ht="14.4" x14ac:dyDescent="0.3">
      <c r="A854" s="20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14.4" x14ac:dyDescent="0.3">
      <c r="A855" s="20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2"/>
    </row>
    <row r="856" spans="1:14" ht="14.4" x14ac:dyDescent="0.3">
      <c r="A856" s="20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14.4" x14ac:dyDescent="0.3">
      <c r="A857" s="20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2"/>
    </row>
    <row r="858" spans="1:14" ht="14.4" x14ac:dyDescent="0.3">
      <c r="A858" s="20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14.4" x14ac:dyDescent="0.3">
      <c r="A859" s="20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2"/>
    </row>
    <row r="860" spans="1:14" ht="14.4" x14ac:dyDescent="0.3">
      <c r="A860" s="20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2"/>
    </row>
    <row r="861" spans="1:14" ht="14.4" x14ac:dyDescent="0.3">
      <c r="A861" s="20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2"/>
    </row>
    <row r="862" spans="1:14" ht="14.4" x14ac:dyDescent="0.3">
      <c r="A862" s="20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14.4" x14ac:dyDescent="0.3">
      <c r="A863" s="20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2"/>
    </row>
    <row r="864" spans="1:14" ht="14.4" x14ac:dyDescent="0.3">
      <c r="A864" s="20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14.4" x14ac:dyDescent="0.3">
      <c r="A865" s="20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2"/>
    </row>
    <row r="866" spans="1:14" ht="14.4" x14ac:dyDescent="0.3">
      <c r="A866" s="20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14.4" x14ac:dyDescent="0.3">
      <c r="A867" s="20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2"/>
    </row>
    <row r="868" spans="1:14" ht="14.4" x14ac:dyDescent="0.3">
      <c r="A868" s="20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14.4" x14ac:dyDescent="0.3">
      <c r="A869" s="20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2"/>
    </row>
    <row r="870" spans="1:14" ht="14.4" x14ac:dyDescent="0.3">
      <c r="A870" s="20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14.4" x14ac:dyDescent="0.3">
      <c r="A871" s="20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2"/>
    </row>
    <row r="872" spans="1:14" ht="14.4" x14ac:dyDescent="0.3">
      <c r="A872" s="20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14.4" x14ac:dyDescent="0.3">
      <c r="A873" s="20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2"/>
    </row>
    <row r="874" spans="1:14" ht="14.4" x14ac:dyDescent="0.3">
      <c r="A874" s="20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14.4" x14ac:dyDescent="0.3">
      <c r="A875" s="20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2"/>
    </row>
    <row r="876" spans="1:14" ht="14.4" x14ac:dyDescent="0.3">
      <c r="A876" s="20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2"/>
    </row>
    <row r="877" spans="1:14" ht="14.4" x14ac:dyDescent="0.3">
      <c r="A877" s="20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2"/>
    </row>
    <row r="878" spans="1:14" ht="14.4" x14ac:dyDescent="0.3">
      <c r="A878" s="20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14.4" x14ac:dyDescent="0.3">
      <c r="A879" s="20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2"/>
    </row>
    <row r="880" spans="1:14" ht="14.4" x14ac:dyDescent="0.3">
      <c r="A880" s="20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14.4" x14ac:dyDescent="0.3">
      <c r="A881" s="20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2"/>
    </row>
    <row r="882" spans="1:14" ht="14.4" x14ac:dyDescent="0.3">
      <c r="A882" s="20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2"/>
    </row>
    <row r="883" spans="1:14" ht="14.4" x14ac:dyDescent="0.3">
      <c r="A883" s="20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2"/>
    </row>
    <row r="884" spans="1:14" ht="14.4" x14ac:dyDescent="0.3">
      <c r="A884" s="20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2"/>
    </row>
    <row r="885" spans="1:14" ht="14.4" x14ac:dyDescent="0.3">
      <c r="A885" s="20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2"/>
    </row>
    <row r="886" spans="1:14" ht="14.4" x14ac:dyDescent="0.3">
      <c r="A886" s="20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2"/>
    </row>
    <row r="887" spans="1:14" ht="14.4" x14ac:dyDescent="0.3">
      <c r="A887" s="20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2"/>
    </row>
    <row r="888" spans="1:14" ht="14.4" x14ac:dyDescent="0.3">
      <c r="A888" s="20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2"/>
    </row>
    <row r="889" spans="1:14" ht="14.4" x14ac:dyDescent="0.3">
      <c r="A889" s="20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2"/>
    </row>
    <row r="890" spans="1:14" ht="14.4" x14ac:dyDescent="0.3">
      <c r="A890" s="20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2"/>
    </row>
    <row r="891" spans="1:14" ht="14.4" x14ac:dyDescent="0.3">
      <c r="A891" s="20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2"/>
    </row>
    <row r="892" spans="1:14" ht="14.4" x14ac:dyDescent="0.3">
      <c r="A892" s="20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2"/>
    </row>
    <row r="893" spans="1:14" ht="14.4" x14ac:dyDescent="0.3">
      <c r="A893" s="20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2"/>
    </row>
    <row r="894" spans="1:14" ht="14.4" x14ac:dyDescent="0.3">
      <c r="A894" s="20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2"/>
    </row>
    <row r="895" spans="1:14" ht="14.4" x14ac:dyDescent="0.3">
      <c r="A895" s="20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2"/>
    </row>
    <row r="896" spans="1:14" ht="14.4" x14ac:dyDescent="0.3">
      <c r="A896" s="20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2"/>
    </row>
    <row r="897" spans="1:14" ht="14.4" x14ac:dyDescent="0.3">
      <c r="A897" s="20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2"/>
    </row>
    <row r="898" spans="1:14" ht="14.4" x14ac:dyDescent="0.3">
      <c r="A898" s="20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2"/>
    </row>
    <row r="899" spans="1:14" ht="14.4" x14ac:dyDescent="0.3">
      <c r="A899" s="20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2"/>
    </row>
    <row r="900" spans="1:14" ht="14.4" x14ac:dyDescent="0.3">
      <c r="A900" s="20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2"/>
    </row>
    <row r="901" spans="1:14" ht="14.4" x14ac:dyDescent="0.3">
      <c r="A901" s="20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2"/>
    </row>
    <row r="902" spans="1:14" ht="14.4" x14ac:dyDescent="0.3">
      <c r="A902" s="20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2"/>
    </row>
    <row r="903" spans="1:14" ht="14.4" x14ac:dyDescent="0.3">
      <c r="A903" s="20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2"/>
    </row>
    <row r="904" spans="1:14" ht="14.4" x14ac:dyDescent="0.3">
      <c r="A904" s="20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2"/>
    </row>
    <row r="905" spans="1:14" ht="14.4" x14ac:dyDescent="0.3">
      <c r="A905" s="20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2"/>
    </row>
    <row r="906" spans="1:14" ht="14.4" x14ac:dyDescent="0.3">
      <c r="A906" s="20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2"/>
    </row>
    <row r="907" spans="1:14" ht="14.4" x14ac:dyDescent="0.3">
      <c r="A907" s="20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2"/>
    </row>
    <row r="908" spans="1:14" ht="14.4" x14ac:dyDescent="0.3">
      <c r="A908" s="20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2"/>
    </row>
    <row r="909" spans="1:14" ht="14.4" x14ac:dyDescent="0.3">
      <c r="A909" s="20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2"/>
    </row>
    <row r="910" spans="1:14" ht="14.4" x14ac:dyDescent="0.3">
      <c r="A910" s="20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2"/>
    </row>
    <row r="911" spans="1:14" ht="14.4" x14ac:dyDescent="0.3">
      <c r="A911" s="20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2"/>
    </row>
    <row r="912" spans="1:14" ht="14.4" x14ac:dyDescent="0.3">
      <c r="A912" s="20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2"/>
    </row>
    <row r="913" spans="1:14" ht="14.4" x14ac:dyDescent="0.3">
      <c r="A913" s="20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2"/>
    </row>
    <row r="914" spans="1:14" ht="14.4" x14ac:dyDescent="0.3">
      <c r="A914" s="20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2"/>
    </row>
    <row r="915" spans="1:14" ht="14.4" x14ac:dyDescent="0.3">
      <c r="A915" s="20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2"/>
    </row>
    <row r="916" spans="1:14" ht="14.4" x14ac:dyDescent="0.3">
      <c r="A916" s="20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2"/>
    </row>
    <row r="917" spans="1:14" ht="14.4" x14ac:dyDescent="0.3">
      <c r="A917" s="20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2"/>
    </row>
    <row r="918" spans="1:14" ht="14.4" x14ac:dyDescent="0.3">
      <c r="A918" s="20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2"/>
    </row>
    <row r="919" spans="1:14" ht="14.4" x14ac:dyDescent="0.3">
      <c r="A919" s="20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2"/>
    </row>
    <row r="920" spans="1:14" ht="14.4" x14ac:dyDescent="0.3">
      <c r="A920" s="20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2"/>
    </row>
    <row r="921" spans="1:14" ht="14.4" x14ac:dyDescent="0.3">
      <c r="A921" s="20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2"/>
    </row>
    <row r="922" spans="1:14" ht="14.4" x14ac:dyDescent="0.3">
      <c r="A922" s="20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2"/>
    </row>
    <row r="923" spans="1:14" ht="14.4" x14ac:dyDescent="0.3">
      <c r="A923" s="20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2"/>
    </row>
    <row r="924" spans="1:14" ht="14.4" x14ac:dyDescent="0.3">
      <c r="A924" s="20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2"/>
    </row>
    <row r="925" spans="1:14" ht="14.4" x14ac:dyDescent="0.3">
      <c r="A925" s="20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2"/>
    </row>
    <row r="926" spans="1:14" ht="14.4" x14ac:dyDescent="0.3">
      <c r="A926" s="20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2"/>
    </row>
    <row r="927" spans="1:14" ht="14.4" x14ac:dyDescent="0.3">
      <c r="A927" s="20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2"/>
    </row>
    <row r="928" spans="1:14" ht="14.4" x14ac:dyDescent="0.3">
      <c r="A928" s="20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2"/>
    </row>
    <row r="929" spans="1:14" ht="14.4" x14ac:dyDescent="0.3">
      <c r="A929" s="20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2"/>
    </row>
    <row r="930" spans="1:14" ht="14.4" x14ac:dyDescent="0.3">
      <c r="A930" s="20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2"/>
    </row>
    <row r="931" spans="1:14" ht="14.4" x14ac:dyDescent="0.3">
      <c r="A931" s="20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2"/>
    </row>
    <row r="932" spans="1:14" ht="14.4" x14ac:dyDescent="0.3">
      <c r="A932" s="20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2"/>
    </row>
    <row r="933" spans="1:14" ht="14.4" x14ac:dyDescent="0.3">
      <c r="A933" s="20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2"/>
    </row>
    <row r="934" spans="1:14" ht="14.4" x14ac:dyDescent="0.3">
      <c r="A934" s="20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2"/>
    </row>
    <row r="935" spans="1:14" ht="14.4" x14ac:dyDescent="0.3">
      <c r="A935" s="20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2"/>
    </row>
    <row r="936" spans="1:14" ht="14.4" x14ac:dyDescent="0.3">
      <c r="A936" s="20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2"/>
    </row>
    <row r="937" spans="1:14" ht="14.4" x14ac:dyDescent="0.3">
      <c r="A937" s="20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2"/>
    </row>
    <row r="938" spans="1:14" ht="14.4" x14ac:dyDescent="0.3">
      <c r="A938" s="20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2"/>
    </row>
    <row r="939" spans="1:14" ht="14.4" x14ac:dyDescent="0.3">
      <c r="A939" s="20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2"/>
    </row>
    <row r="940" spans="1:14" ht="14.4" x14ac:dyDescent="0.3">
      <c r="A940" s="20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14.4" x14ac:dyDescent="0.3">
      <c r="A941" s="20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2"/>
    </row>
    <row r="942" spans="1:14" ht="14.4" x14ac:dyDescent="0.3">
      <c r="A942" s="20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2"/>
    </row>
    <row r="943" spans="1:14" ht="14.4" x14ac:dyDescent="0.3">
      <c r="A943" s="20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2"/>
    </row>
    <row r="944" spans="1:14" ht="14.4" x14ac:dyDescent="0.3">
      <c r="A944" s="20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14.4" x14ac:dyDescent="0.3">
      <c r="A945" s="20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2"/>
    </row>
    <row r="946" spans="1:14" ht="14.4" x14ac:dyDescent="0.3">
      <c r="A946" s="20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14.4" x14ac:dyDescent="0.3">
      <c r="A947" s="20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2"/>
    </row>
    <row r="948" spans="1:14" ht="14.4" x14ac:dyDescent="0.3">
      <c r="A948" s="20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14.4" x14ac:dyDescent="0.3">
      <c r="A949" s="20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2"/>
    </row>
    <row r="950" spans="1:14" ht="14.4" x14ac:dyDescent="0.3">
      <c r="A950" s="20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14.4" x14ac:dyDescent="0.3">
      <c r="A951" s="20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2"/>
    </row>
    <row r="952" spans="1:14" ht="14.4" x14ac:dyDescent="0.3">
      <c r="A952" s="20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14.4" x14ac:dyDescent="0.3">
      <c r="A953" s="20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2"/>
    </row>
    <row r="954" spans="1:14" ht="14.4" x14ac:dyDescent="0.3">
      <c r="A954" s="20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14.4" x14ac:dyDescent="0.3">
      <c r="A955" s="20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2"/>
    </row>
    <row r="956" spans="1:14" ht="14.4" x14ac:dyDescent="0.3">
      <c r="A956" s="20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14.4" x14ac:dyDescent="0.3">
      <c r="A957" s="20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2"/>
    </row>
    <row r="958" spans="1:14" ht="14.4" x14ac:dyDescent="0.3">
      <c r="A958" s="20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14.4" x14ac:dyDescent="0.3">
      <c r="A959" s="20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2"/>
    </row>
    <row r="960" spans="1:14" ht="14.4" x14ac:dyDescent="0.3">
      <c r="A960" s="20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14.4" x14ac:dyDescent="0.3">
      <c r="A961" s="20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2"/>
    </row>
    <row r="962" spans="1:14" ht="14.4" x14ac:dyDescent="0.3">
      <c r="A962" s="20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14.4" x14ac:dyDescent="0.3">
      <c r="A963" s="20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2"/>
    </row>
    <row r="964" spans="1:14" ht="14.4" x14ac:dyDescent="0.3">
      <c r="A964" s="20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14.4" x14ac:dyDescent="0.3">
      <c r="A965" s="20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2"/>
    </row>
    <row r="966" spans="1:14" ht="14.4" x14ac:dyDescent="0.3">
      <c r="A966" s="20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14.4" x14ac:dyDescent="0.3">
      <c r="A967" s="20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2"/>
    </row>
    <row r="968" spans="1:14" ht="14.4" x14ac:dyDescent="0.3">
      <c r="A968" s="20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14.4" x14ac:dyDescent="0.3">
      <c r="A969" s="20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2"/>
    </row>
    <row r="970" spans="1:14" ht="14.4" x14ac:dyDescent="0.3">
      <c r="A970" s="20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14.4" x14ac:dyDescent="0.3">
      <c r="A971" s="20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2"/>
    </row>
    <row r="972" spans="1:14" ht="14.4" x14ac:dyDescent="0.3">
      <c r="A972" s="23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14.4" x14ac:dyDescent="0.3">
      <c r="A973" s="23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2"/>
    </row>
    <row r="974" spans="1:14" ht="14.4" x14ac:dyDescent="0.3">
      <c r="A974" s="23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14.4" x14ac:dyDescent="0.3">
      <c r="A975" s="23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2"/>
    </row>
    <row r="976" spans="1:14" ht="14.4" x14ac:dyDescent="0.3">
      <c r="A976" s="23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14.4" x14ac:dyDescent="0.3">
      <c r="A977" s="23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2"/>
    </row>
    <row r="978" spans="1:14" ht="14.4" x14ac:dyDescent="0.3">
      <c r="A978" s="23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14.4" x14ac:dyDescent="0.3">
      <c r="A979" s="23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2"/>
    </row>
    <row r="980" spans="1:14" ht="14.4" x14ac:dyDescent="0.3">
      <c r="A980" s="23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</sheetData>
  <conditionalFormatting sqref="B20:M39">
    <cfRule type="cellIs" dxfId="3" priority="1" operator="lessThan">
      <formula>0</formula>
    </cfRule>
  </conditionalFormatting>
  <printOptions horizontalCentered="1"/>
  <pageMargins left="0" right="0" top="0.39370078740157477" bottom="0.39370078740157477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980"/>
  <sheetViews>
    <sheetView topLeftCell="A10" workbookViewId="0">
      <selection activeCell="A41" sqref="A41:XFD41"/>
    </sheetView>
  </sheetViews>
  <sheetFormatPr defaultColWidth="14.44140625" defaultRowHeight="15" customHeight="1" x14ac:dyDescent="0.3"/>
  <cols>
    <col min="1" max="1" width="43.33203125" customWidth="1"/>
    <col min="2" max="2" width="18" customWidth="1"/>
    <col min="3" max="3" width="18.33203125" customWidth="1"/>
    <col min="4" max="9" width="18" customWidth="1"/>
    <col min="10" max="10" width="18.88671875" customWidth="1"/>
    <col min="11" max="11" width="18" customWidth="1"/>
    <col min="12" max="12" width="19.6640625" customWidth="1"/>
    <col min="13" max="13" width="19.44140625" customWidth="1"/>
    <col min="14" max="14" width="20.109375" customWidth="1"/>
  </cols>
  <sheetData>
    <row r="1" spans="1:14" ht="33" customHeight="1" x14ac:dyDescent="0.3">
      <c r="A1" s="1"/>
      <c r="B1" s="2">
        <v>47119</v>
      </c>
      <c r="C1" s="2">
        <v>47150</v>
      </c>
      <c r="D1" s="2">
        <v>47178</v>
      </c>
      <c r="E1" s="2">
        <v>47209</v>
      </c>
      <c r="F1" s="2">
        <v>47239</v>
      </c>
      <c r="G1" s="2">
        <v>47270</v>
      </c>
      <c r="H1" s="2">
        <v>47300</v>
      </c>
      <c r="I1" s="2">
        <v>47331</v>
      </c>
      <c r="J1" s="2">
        <v>47362</v>
      </c>
      <c r="K1" s="2">
        <v>47392</v>
      </c>
      <c r="L1" s="2">
        <v>47423</v>
      </c>
      <c r="M1" s="2">
        <v>47453</v>
      </c>
      <c r="N1" s="3" t="s">
        <v>0</v>
      </c>
    </row>
    <row r="2" spans="1:14" ht="33" customHeight="1" x14ac:dyDescent="0.3">
      <c r="A2" s="4" t="s">
        <v>1</v>
      </c>
      <c r="B2" s="3">
        <f>ROUNDDOWN(Dados!$B$1+('2028'!M2-('2028'!M2*Dados!$B$3)),0)</f>
        <v>251</v>
      </c>
      <c r="C2" s="3">
        <f>ROUNDDOWN(Dados!$B$1+(B2-(B2*Dados!$B$3)),0)</f>
        <v>255</v>
      </c>
      <c r="D2" s="3">
        <f>ROUNDDOWN(Dados!$B$1+(C2-(C2*Dados!$B$3)),0)</f>
        <v>259</v>
      </c>
      <c r="E2" s="3">
        <f>ROUNDDOWN(Dados!$B$1+(D2-(D2*Dados!$B$3)),0)</f>
        <v>263</v>
      </c>
      <c r="F2" s="3">
        <f>ROUNDDOWN(Dados!$B$1+(E2-(E2*Dados!$B$3)),0)</f>
        <v>267</v>
      </c>
      <c r="G2" s="3">
        <f>ROUNDDOWN(Dados!$B$1+(F2-(F2*Dados!$B$3)),0)</f>
        <v>271</v>
      </c>
      <c r="H2" s="3">
        <f>ROUNDDOWN(Dados!$B$1+(G2-(G2*Dados!$B$3)),0)</f>
        <v>275</v>
      </c>
      <c r="I2" s="3">
        <f>ROUNDDOWN(Dados!$B$1+(H2-(H2*Dados!$B$3)),0)</f>
        <v>279</v>
      </c>
      <c r="J2" s="3">
        <f>ROUNDDOWN(Dados!$B$1+(I2-(I2*Dados!$B$3)),0)</f>
        <v>283</v>
      </c>
      <c r="K2" s="3">
        <f>ROUNDDOWN(Dados!$B$1+(J2-(J2*Dados!$B$3)),0)</f>
        <v>287</v>
      </c>
      <c r="L2" s="3">
        <f>ROUNDDOWN(Dados!$B$1+(K2-(K2*Dados!$B$3)),0)</f>
        <v>291</v>
      </c>
      <c r="M2" s="3">
        <f>ROUNDDOWN(Dados!$B$1+(L2-(L2*Dados!$B$3)),0)</f>
        <v>295</v>
      </c>
      <c r="N2" s="3">
        <f>M2</f>
        <v>295</v>
      </c>
    </row>
    <row r="3" spans="1:14" ht="6" customHeight="1" x14ac:dyDescent="0.3"/>
    <row r="4" spans="1:14" ht="27" customHeight="1" x14ac:dyDescent="0.3">
      <c r="A4" s="4" t="s">
        <v>2</v>
      </c>
      <c r="B4" s="5">
        <f t="shared" ref="B4:M4" si="0">ROUND(B5+B6,2)</f>
        <v>209785.8</v>
      </c>
      <c r="C4" s="5">
        <f t="shared" si="0"/>
        <v>213129</v>
      </c>
      <c r="D4" s="5">
        <f t="shared" si="0"/>
        <v>216472.2</v>
      </c>
      <c r="E4" s="5">
        <f t="shared" si="0"/>
        <v>219815.4</v>
      </c>
      <c r="F4" s="5">
        <f t="shared" si="0"/>
        <v>223158.6</v>
      </c>
      <c r="G4" s="5">
        <f t="shared" si="0"/>
        <v>226501.8</v>
      </c>
      <c r="H4" s="5">
        <f t="shared" si="0"/>
        <v>229845</v>
      </c>
      <c r="I4" s="5">
        <f t="shared" si="0"/>
        <v>233188.2</v>
      </c>
      <c r="J4" s="5">
        <f t="shared" si="0"/>
        <v>236531.4</v>
      </c>
      <c r="K4" s="5">
        <f t="shared" si="0"/>
        <v>239874.6</v>
      </c>
      <c r="L4" s="5">
        <f t="shared" si="0"/>
        <v>243217.8</v>
      </c>
      <c r="M4" s="5">
        <f t="shared" si="0"/>
        <v>246561</v>
      </c>
      <c r="N4" s="5">
        <f t="shared" ref="N4:N9" si="1">ROUND(SUM(B4:M4),2)</f>
        <v>2738080.8</v>
      </c>
    </row>
    <row r="5" spans="1:14" ht="14.4" x14ac:dyDescent="0.3">
      <c r="A5" s="6" t="s">
        <v>3</v>
      </c>
      <c r="B5" s="7">
        <f>ROUND(B2*Dados!$B$5,0)</f>
        <v>149847</v>
      </c>
      <c r="C5" s="7">
        <f>ROUND(C2*Dados!$B$5,0)</f>
        <v>152235</v>
      </c>
      <c r="D5" s="7">
        <f>ROUND(D2*Dados!$B$5,0)</f>
        <v>154623</v>
      </c>
      <c r="E5" s="7">
        <f>ROUND(E2*Dados!$B$5,0)</f>
        <v>157011</v>
      </c>
      <c r="F5" s="7">
        <f>ROUND(F2*Dados!$B$5,0)</f>
        <v>159399</v>
      </c>
      <c r="G5" s="7">
        <f>ROUND(G2*Dados!$B$5,0)</f>
        <v>161787</v>
      </c>
      <c r="H5" s="7">
        <f>ROUND(H2*Dados!$B$5,0)</f>
        <v>164175</v>
      </c>
      <c r="I5" s="7">
        <f>ROUND(I2*Dados!$B$5,0)</f>
        <v>166563</v>
      </c>
      <c r="J5" s="7">
        <f>ROUND(J2*Dados!$B$5,0)</f>
        <v>168951</v>
      </c>
      <c r="K5" s="7">
        <f>ROUND(K2*Dados!$B$5,0)</f>
        <v>171339</v>
      </c>
      <c r="L5" s="7">
        <f>ROUND(L2*Dados!$B$5,0)</f>
        <v>173727</v>
      </c>
      <c r="M5" s="7">
        <f>ROUND(M2*Dados!$B$5,0)</f>
        <v>176115</v>
      </c>
      <c r="N5" s="7">
        <f t="shared" si="1"/>
        <v>1955772</v>
      </c>
    </row>
    <row r="6" spans="1:14" ht="27.6" x14ac:dyDescent="0.3">
      <c r="A6" s="6" t="s">
        <v>4</v>
      </c>
      <c r="B6" s="7">
        <f>IF(Dados!$B$9&gt;0,Dados!$B$9*B2,ROUND(B2*(Dados!$B$11*Dados!$B$7),2))</f>
        <v>59938.8</v>
      </c>
      <c r="C6" s="7">
        <f>IF(Dados!$B$9&gt;0,Dados!$B$9*C2,ROUND(C2*(Dados!$B$11*Dados!$B$7),2))</f>
        <v>60894</v>
      </c>
      <c r="D6" s="7">
        <f>IF(Dados!$B$9&gt;0,Dados!$B$9*D2,ROUND(D2*(Dados!$B$11*Dados!$B$7),2))</f>
        <v>61849.2</v>
      </c>
      <c r="E6" s="7">
        <f>IF(Dados!$B$9&gt;0,Dados!$B$9*E2,ROUND(E2*(Dados!$B$11*Dados!$B$7),2))</f>
        <v>62804.4</v>
      </c>
      <c r="F6" s="7">
        <f>IF(Dados!$B$9&gt;0,Dados!$B$9*F2,ROUND(F2*(Dados!$B$11*Dados!$B$7),2))</f>
        <v>63759.6</v>
      </c>
      <c r="G6" s="7">
        <f>IF(Dados!$B$9&gt;0,Dados!$B$9*G2,ROUND(G2*(Dados!$B$11*Dados!$B$7),2))</f>
        <v>64714.8</v>
      </c>
      <c r="H6" s="7">
        <f>IF(Dados!$B$9&gt;0,Dados!$B$9*H2,ROUND(H2*(Dados!$B$11*Dados!$B$7),2))</f>
        <v>65670</v>
      </c>
      <c r="I6" s="7">
        <f>IF(Dados!$B$9&gt;0,Dados!$B$9*I2,ROUND(I2*(Dados!$B$11*Dados!$B$7),2))</f>
        <v>66625.2</v>
      </c>
      <c r="J6" s="7">
        <f>IF(Dados!$B$9&gt;0,Dados!$B$9*J2,ROUND(J2*(Dados!$B$11*Dados!$B$7),2))</f>
        <v>67580.399999999994</v>
      </c>
      <c r="K6" s="7">
        <f>IF(Dados!$B$9&gt;0,Dados!$B$9*K2,ROUND(K2*(Dados!$B$11*Dados!$B$7),2))</f>
        <v>68535.600000000006</v>
      </c>
      <c r="L6" s="7">
        <f>IF(Dados!$B$9&gt;0,Dados!$B$9*L2,ROUND(L2*(Dados!$B$11*Dados!$B$7),2))</f>
        <v>69490.8</v>
      </c>
      <c r="M6" s="7">
        <f>IF(Dados!$B$9&gt;0,Dados!$B$9*M2,ROUND(M2*(Dados!$B$11*Dados!$B$7),2))</f>
        <v>70446</v>
      </c>
      <c r="N6" s="7">
        <f t="shared" si="1"/>
        <v>782308.8</v>
      </c>
    </row>
    <row r="7" spans="1:14" ht="14.4" x14ac:dyDescent="0.3">
      <c r="A7" s="8" t="s">
        <v>5</v>
      </c>
      <c r="B7" s="9">
        <f>B4*Dados!$E$2</f>
        <v>33565.727999999996</v>
      </c>
      <c r="C7" s="9">
        <f>C4*Dados!$E$2</f>
        <v>34100.639999999999</v>
      </c>
      <c r="D7" s="9">
        <f>D4*Dados!$E$2</f>
        <v>34635.552000000003</v>
      </c>
      <c r="E7" s="9">
        <f>E4*Dados!$E$2</f>
        <v>35170.464</v>
      </c>
      <c r="F7" s="9">
        <f>F4*Dados!$E$2</f>
        <v>35705.376000000004</v>
      </c>
      <c r="G7" s="9">
        <f>G4*Dados!$E$2</f>
        <v>36240.288</v>
      </c>
      <c r="H7" s="9">
        <f>H4*Dados!$E$2</f>
        <v>36775.200000000004</v>
      </c>
      <c r="I7" s="9">
        <f>I4*Dados!$E$2</f>
        <v>37310.112000000001</v>
      </c>
      <c r="J7" s="9">
        <f>J4*Dados!$E$2</f>
        <v>37845.023999999998</v>
      </c>
      <c r="K7" s="9">
        <f>K4*Dados!$E$2</f>
        <v>38379.936000000002</v>
      </c>
      <c r="L7" s="9">
        <f>L4*Dados!$E$2</f>
        <v>38914.847999999998</v>
      </c>
      <c r="M7" s="9">
        <f>M4*Dados!$E$2</f>
        <v>39449.760000000002</v>
      </c>
      <c r="N7" s="10">
        <f t="shared" si="1"/>
        <v>438092.93</v>
      </c>
    </row>
    <row r="8" spans="1:14" ht="21" customHeight="1" x14ac:dyDescent="0.3">
      <c r="A8" s="11" t="s">
        <v>6</v>
      </c>
      <c r="B8" s="12">
        <f t="shared" ref="B8:M8" si="2">B4-B7</f>
        <v>176220.07199999999</v>
      </c>
      <c r="C8" s="12">
        <f t="shared" si="2"/>
        <v>179028.36</v>
      </c>
      <c r="D8" s="12">
        <f t="shared" si="2"/>
        <v>181836.64800000002</v>
      </c>
      <c r="E8" s="12">
        <f t="shared" si="2"/>
        <v>184644.93599999999</v>
      </c>
      <c r="F8" s="12">
        <f t="shared" si="2"/>
        <v>187453.22399999999</v>
      </c>
      <c r="G8" s="12">
        <f t="shared" si="2"/>
        <v>190261.51199999999</v>
      </c>
      <c r="H8" s="12">
        <f t="shared" si="2"/>
        <v>193069.8</v>
      </c>
      <c r="I8" s="12">
        <f t="shared" si="2"/>
        <v>195878.08800000002</v>
      </c>
      <c r="J8" s="12">
        <f t="shared" si="2"/>
        <v>198686.37599999999</v>
      </c>
      <c r="K8" s="12">
        <f t="shared" si="2"/>
        <v>201494.66399999999</v>
      </c>
      <c r="L8" s="12">
        <f t="shared" si="2"/>
        <v>204302.95199999999</v>
      </c>
      <c r="M8" s="12">
        <f t="shared" si="2"/>
        <v>207111.24</v>
      </c>
      <c r="N8" s="12">
        <f t="shared" si="1"/>
        <v>2299987.87</v>
      </c>
    </row>
    <row r="9" spans="1:14" ht="21" customHeight="1" x14ac:dyDescent="0.3">
      <c r="A9" s="11" t="s">
        <v>38</v>
      </c>
      <c r="B9" s="12">
        <f t="shared" ref="B9:M9" si="3">ROUND(B8-B14-B15-B16-B17-B18,2)</f>
        <v>105977.72</v>
      </c>
      <c r="C9" s="12">
        <f t="shared" si="3"/>
        <v>107666.61</v>
      </c>
      <c r="D9" s="12">
        <f t="shared" si="3"/>
        <v>109355.5</v>
      </c>
      <c r="E9" s="12">
        <f t="shared" si="3"/>
        <v>111044.39</v>
      </c>
      <c r="F9" s="12">
        <f t="shared" si="3"/>
        <v>112733.27</v>
      </c>
      <c r="G9" s="12">
        <f t="shared" si="3"/>
        <v>114422.16</v>
      </c>
      <c r="H9" s="12">
        <f t="shared" si="3"/>
        <v>116111.05</v>
      </c>
      <c r="I9" s="12">
        <f t="shared" si="3"/>
        <v>117799.94</v>
      </c>
      <c r="J9" s="12">
        <f t="shared" si="3"/>
        <v>119488.83</v>
      </c>
      <c r="K9" s="12">
        <f t="shared" si="3"/>
        <v>121177.71</v>
      </c>
      <c r="L9" s="12">
        <f t="shared" si="3"/>
        <v>122866.6</v>
      </c>
      <c r="M9" s="12">
        <f t="shared" si="3"/>
        <v>124555.49</v>
      </c>
      <c r="N9" s="12">
        <f t="shared" si="1"/>
        <v>1383199.27</v>
      </c>
    </row>
    <row r="10" spans="1:14" ht="14.4" x14ac:dyDescent="0.3">
      <c r="A10" s="6" t="s">
        <v>8</v>
      </c>
      <c r="B10" s="13">
        <f t="shared" ref="B10:N10" si="4">IFERROR(ROUND(B9/B4,2),0)</f>
        <v>0.51</v>
      </c>
      <c r="C10" s="13">
        <f t="shared" si="4"/>
        <v>0.51</v>
      </c>
      <c r="D10" s="13">
        <f t="shared" si="4"/>
        <v>0.51</v>
      </c>
      <c r="E10" s="13">
        <f t="shared" si="4"/>
        <v>0.51</v>
      </c>
      <c r="F10" s="13">
        <f t="shared" si="4"/>
        <v>0.51</v>
      </c>
      <c r="G10" s="13">
        <f t="shared" si="4"/>
        <v>0.51</v>
      </c>
      <c r="H10" s="13">
        <f t="shared" si="4"/>
        <v>0.51</v>
      </c>
      <c r="I10" s="13">
        <f t="shared" si="4"/>
        <v>0.51</v>
      </c>
      <c r="J10" s="13">
        <f t="shared" si="4"/>
        <v>0.51</v>
      </c>
      <c r="K10" s="13">
        <f t="shared" si="4"/>
        <v>0.51</v>
      </c>
      <c r="L10" s="13">
        <f t="shared" si="4"/>
        <v>0.51</v>
      </c>
      <c r="M10" s="13">
        <f t="shared" si="4"/>
        <v>0.51</v>
      </c>
      <c r="N10" s="13">
        <f t="shared" si="4"/>
        <v>0.51</v>
      </c>
    </row>
    <row r="11" spans="1:14" ht="6" customHeight="1" x14ac:dyDescent="0.3"/>
    <row r="12" spans="1:14" ht="27" customHeight="1" x14ac:dyDescent="0.3">
      <c r="A12" s="14" t="s">
        <v>9</v>
      </c>
      <c r="B12" s="15">
        <f t="shared" ref="B12:M12" si="5">ROUND(SUM(B13,B19),2)</f>
        <v>131635.35</v>
      </c>
      <c r="C12" s="15">
        <f t="shared" si="5"/>
        <v>132754.75</v>
      </c>
      <c r="D12" s="15">
        <f t="shared" si="5"/>
        <v>133874.15</v>
      </c>
      <c r="E12" s="15">
        <f t="shared" si="5"/>
        <v>134993.54999999999</v>
      </c>
      <c r="F12" s="15">
        <f t="shared" si="5"/>
        <v>136112.95000000001</v>
      </c>
      <c r="G12" s="15">
        <f t="shared" si="5"/>
        <v>137232.35</v>
      </c>
      <c r="H12" s="15">
        <f t="shared" si="5"/>
        <v>138351.75</v>
      </c>
      <c r="I12" s="15">
        <f t="shared" si="5"/>
        <v>139471.15</v>
      </c>
      <c r="J12" s="15">
        <f t="shared" si="5"/>
        <v>140590.54999999999</v>
      </c>
      <c r="K12" s="15">
        <f t="shared" si="5"/>
        <v>141709.95000000001</v>
      </c>
      <c r="L12" s="15">
        <f t="shared" si="5"/>
        <v>142829.35</v>
      </c>
      <c r="M12" s="15">
        <f t="shared" si="5"/>
        <v>143948.75</v>
      </c>
      <c r="N12" s="15">
        <f t="shared" ref="N12:N40" si="6">ROUND(SUM(B12:M12),2)</f>
        <v>1653504.6</v>
      </c>
    </row>
    <row r="13" spans="1:14" ht="21" customHeight="1" x14ac:dyDescent="0.3">
      <c r="A13" s="16" t="s">
        <v>10</v>
      </c>
      <c r="B13" s="17">
        <f t="shared" ref="B13:M13" si="7">B14+B15+B16+B17+B18</f>
        <v>70242.350000000006</v>
      </c>
      <c r="C13" s="17">
        <f t="shared" si="7"/>
        <v>71361.75</v>
      </c>
      <c r="D13" s="17">
        <f t="shared" si="7"/>
        <v>72481.149999999994</v>
      </c>
      <c r="E13" s="17">
        <f t="shared" si="7"/>
        <v>73600.55</v>
      </c>
      <c r="F13" s="17">
        <f t="shared" si="7"/>
        <v>74719.95</v>
      </c>
      <c r="G13" s="17">
        <f t="shared" si="7"/>
        <v>75839.350000000006</v>
      </c>
      <c r="H13" s="17">
        <f t="shared" si="7"/>
        <v>76958.75</v>
      </c>
      <c r="I13" s="17">
        <f t="shared" si="7"/>
        <v>78078.149999999994</v>
      </c>
      <c r="J13" s="17">
        <f t="shared" si="7"/>
        <v>79197.55</v>
      </c>
      <c r="K13" s="17">
        <f t="shared" si="7"/>
        <v>80316.95</v>
      </c>
      <c r="L13" s="17">
        <f t="shared" si="7"/>
        <v>81436.350000000006</v>
      </c>
      <c r="M13" s="17">
        <f t="shared" si="7"/>
        <v>82555.75</v>
      </c>
      <c r="N13" s="18">
        <f t="shared" si="6"/>
        <v>916788.6</v>
      </c>
    </row>
    <row r="14" spans="1:14" ht="14.4" x14ac:dyDescent="0.3">
      <c r="A14" s="8" t="s">
        <v>11</v>
      </c>
      <c r="B14" s="10">
        <f>B5*Dados!$E$1</f>
        <v>7492.35</v>
      </c>
      <c r="C14" s="10">
        <f>C5*Dados!$E$1</f>
        <v>7611.75</v>
      </c>
      <c r="D14" s="10">
        <f>D5*Dados!$E$1</f>
        <v>7731.1500000000005</v>
      </c>
      <c r="E14" s="10">
        <f>E5*Dados!$E$1</f>
        <v>7850.55</v>
      </c>
      <c r="F14" s="10">
        <f>F5*Dados!$E$1</f>
        <v>7969.9500000000007</v>
      </c>
      <c r="G14" s="10">
        <f>G5*Dados!$E$1</f>
        <v>8089.35</v>
      </c>
      <c r="H14" s="10">
        <f>H5*Dados!$E$1</f>
        <v>8208.75</v>
      </c>
      <c r="I14" s="10">
        <f>I5*Dados!$E$1</f>
        <v>8328.15</v>
      </c>
      <c r="J14" s="10">
        <f>J5*Dados!$E$1</f>
        <v>8447.5500000000011</v>
      </c>
      <c r="K14" s="10">
        <f>K5*Dados!$E$1</f>
        <v>8566.9500000000007</v>
      </c>
      <c r="L14" s="10">
        <f>L5*Dados!$E$1</f>
        <v>8686.35</v>
      </c>
      <c r="M14" s="10">
        <f>M5*Dados!$E$1</f>
        <v>8805.75</v>
      </c>
      <c r="N14" s="10">
        <f t="shared" si="6"/>
        <v>97788.6</v>
      </c>
    </row>
    <row r="15" spans="1:14" ht="14.4" x14ac:dyDescent="0.3">
      <c r="A15" s="19" t="s">
        <v>12</v>
      </c>
      <c r="B15" s="10">
        <f t="shared" ref="B15:M15" si="8">10*B2</f>
        <v>2510</v>
      </c>
      <c r="C15" s="10">
        <f t="shared" si="8"/>
        <v>2550</v>
      </c>
      <c r="D15" s="10">
        <f t="shared" si="8"/>
        <v>2590</v>
      </c>
      <c r="E15" s="10">
        <f t="shared" si="8"/>
        <v>2630</v>
      </c>
      <c r="F15" s="10">
        <f t="shared" si="8"/>
        <v>2670</v>
      </c>
      <c r="G15" s="10">
        <f t="shared" si="8"/>
        <v>2710</v>
      </c>
      <c r="H15" s="10">
        <f t="shared" si="8"/>
        <v>2750</v>
      </c>
      <c r="I15" s="10">
        <f t="shared" si="8"/>
        <v>2790</v>
      </c>
      <c r="J15" s="10">
        <f t="shared" si="8"/>
        <v>2830</v>
      </c>
      <c r="K15" s="10">
        <f t="shared" si="8"/>
        <v>2870</v>
      </c>
      <c r="L15" s="10">
        <f t="shared" si="8"/>
        <v>2910</v>
      </c>
      <c r="M15" s="10">
        <f t="shared" si="8"/>
        <v>2950</v>
      </c>
      <c r="N15" s="10">
        <f t="shared" si="6"/>
        <v>32760</v>
      </c>
    </row>
    <row r="16" spans="1:14" ht="14.4" x14ac:dyDescent="0.3">
      <c r="A16" s="19" t="s">
        <v>13</v>
      </c>
      <c r="B16" s="10">
        <f t="shared" ref="B16:M16" si="9">200*B2</f>
        <v>50200</v>
      </c>
      <c r="C16" s="10">
        <f t="shared" si="9"/>
        <v>51000</v>
      </c>
      <c r="D16" s="10">
        <f t="shared" si="9"/>
        <v>51800</v>
      </c>
      <c r="E16" s="10">
        <f t="shared" si="9"/>
        <v>52600</v>
      </c>
      <c r="F16" s="10">
        <f t="shared" si="9"/>
        <v>53400</v>
      </c>
      <c r="G16" s="10">
        <f t="shared" si="9"/>
        <v>54200</v>
      </c>
      <c r="H16" s="10">
        <f t="shared" si="9"/>
        <v>55000</v>
      </c>
      <c r="I16" s="10">
        <f t="shared" si="9"/>
        <v>55800</v>
      </c>
      <c r="J16" s="10">
        <f t="shared" si="9"/>
        <v>56600</v>
      </c>
      <c r="K16" s="10">
        <f t="shared" si="9"/>
        <v>57400</v>
      </c>
      <c r="L16" s="10">
        <f t="shared" si="9"/>
        <v>58200</v>
      </c>
      <c r="M16" s="10">
        <f t="shared" si="9"/>
        <v>59000</v>
      </c>
      <c r="N16" s="10">
        <f t="shared" si="6"/>
        <v>655200</v>
      </c>
    </row>
    <row r="17" spans="1:14" ht="14.4" x14ac:dyDescent="0.3">
      <c r="A17" s="19" t="s">
        <v>14</v>
      </c>
      <c r="B17" s="10">
        <f t="shared" ref="B17:M17" si="10">10*B2</f>
        <v>2510</v>
      </c>
      <c r="C17" s="10">
        <f t="shared" si="10"/>
        <v>2550</v>
      </c>
      <c r="D17" s="10">
        <f t="shared" si="10"/>
        <v>2590</v>
      </c>
      <c r="E17" s="10">
        <f t="shared" si="10"/>
        <v>2630</v>
      </c>
      <c r="F17" s="10">
        <f t="shared" si="10"/>
        <v>2670</v>
      </c>
      <c r="G17" s="10">
        <f t="shared" si="10"/>
        <v>2710</v>
      </c>
      <c r="H17" s="10">
        <f t="shared" si="10"/>
        <v>2750</v>
      </c>
      <c r="I17" s="10">
        <f t="shared" si="10"/>
        <v>2790</v>
      </c>
      <c r="J17" s="10">
        <f t="shared" si="10"/>
        <v>2830</v>
      </c>
      <c r="K17" s="10">
        <f t="shared" si="10"/>
        <v>2870</v>
      </c>
      <c r="L17" s="10">
        <f t="shared" si="10"/>
        <v>2910</v>
      </c>
      <c r="M17" s="10">
        <f t="shared" si="10"/>
        <v>2950</v>
      </c>
      <c r="N17" s="10">
        <f t="shared" si="6"/>
        <v>32760</v>
      </c>
    </row>
    <row r="18" spans="1:14" ht="14.4" x14ac:dyDescent="0.3">
      <c r="A18" s="19" t="s">
        <v>15</v>
      </c>
      <c r="B18" s="10">
        <f t="shared" ref="B18:M18" si="11">30*B2</f>
        <v>7530</v>
      </c>
      <c r="C18" s="10">
        <f t="shared" si="11"/>
        <v>7650</v>
      </c>
      <c r="D18" s="10">
        <f t="shared" si="11"/>
        <v>7770</v>
      </c>
      <c r="E18" s="10">
        <f t="shared" si="11"/>
        <v>7890</v>
      </c>
      <c r="F18" s="10">
        <f t="shared" si="11"/>
        <v>8010</v>
      </c>
      <c r="G18" s="10">
        <f t="shared" si="11"/>
        <v>8130</v>
      </c>
      <c r="H18" s="10">
        <f t="shared" si="11"/>
        <v>8250</v>
      </c>
      <c r="I18" s="10">
        <f t="shared" si="11"/>
        <v>8370</v>
      </c>
      <c r="J18" s="10">
        <f t="shared" si="11"/>
        <v>8490</v>
      </c>
      <c r="K18" s="10">
        <f t="shared" si="11"/>
        <v>8610</v>
      </c>
      <c r="L18" s="10">
        <f t="shared" si="11"/>
        <v>8730</v>
      </c>
      <c r="M18" s="10">
        <f t="shared" si="11"/>
        <v>8850</v>
      </c>
      <c r="N18" s="10">
        <f t="shared" si="6"/>
        <v>98280</v>
      </c>
    </row>
    <row r="19" spans="1:14" ht="21" customHeight="1" x14ac:dyDescent="0.3">
      <c r="A19" s="16" t="s">
        <v>16</v>
      </c>
      <c r="B19" s="17">
        <f t="shared" ref="B19:M19" si="12">SUM(B20:B40)</f>
        <v>61393</v>
      </c>
      <c r="C19" s="17">
        <f t="shared" si="12"/>
        <v>61393</v>
      </c>
      <c r="D19" s="17">
        <f t="shared" si="12"/>
        <v>61393</v>
      </c>
      <c r="E19" s="17">
        <f t="shared" si="12"/>
        <v>61393</v>
      </c>
      <c r="F19" s="17">
        <f t="shared" si="12"/>
        <v>61393</v>
      </c>
      <c r="G19" s="17">
        <f t="shared" si="12"/>
        <v>61393</v>
      </c>
      <c r="H19" s="17">
        <f t="shared" si="12"/>
        <v>61393</v>
      </c>
      <c r="I19" s="17">
        <f t="shared" si="12"/>
        <v>61393</v>
      </c>
      <c r="J19" s="17">
        <f t="shared" si="12"/>
        <v>61393</v>
      </c>
      <c r="K19" s="17">
        <f t="shared" si="12"/>
        <v>61393</v>
      </c>
      <c r="L19" s="17">
        <f t="shared" si="12"/>
        <v>61393</v>
      </c>
      <c r="M19" s="17">
        <f t="shared" si="12"/>
        <v>61393</v>
      </c>
      <c r="N19" s="18">
        <f t="shared" si="6"/>
        <v>736716</v>
      </c>
    </row>
    <row r="20" spans="1:14" ht="14.4" x14ac:dyDescent="0.3">
      <c r="A20" s="19" t="s">
        <v>17</v>
      </c>
      <c r="B20" s="9">
        <v>11100</v>
      </c>
      <c r="C20" s="9">
        <v>11100</v>
      </c>
      <c r="D20" s="9">
        <v>11100</v>
      </c>
      <c r="E20" s="9">
        <v>11100</v>
      </c>
      <c r="F20" s="9">
        <v>11100</v>
      </c>
      <c r="G20" s="9">
        <v>11100</v>
      </c>
      <c r="H20" s="9">
        <v>11100</v>
      </c>
      <c r="I20" s="9">
        <v>11100</v>
      </c>
      <c r="J20" s="9">
        <v>11100</v>
      </c>
      <c r="K20" s="9">
        <v>11100</v>
      </c>
      <c r="L20" s="9">
        <v>11100</v>
      </c>
      <c r="M20" s="9">
        <v>11100</v>
      </c>
      <c r="N20" s="10">
        <f t="shared" si="6"/>
        <v>133200</v>
      </c>
    </row>
    <row r="21" spans="1:14" ht="14.4" x14ac:dyDescent="0.3">
      <c r="A21" s="19" t="s">
        <v>18</v>
      </c>
      <c r="B21" s="9">
        <v>7215</v>
      </c>
      <c r="C21" s="9">
        <v>7215</v>
      </c>
      <c r="D21" s="9">
        <v>7215</v>
      </c>
      <c r="E21" s="9">
        <v>7215</v>
      </c>
      <c r="F21" s="9">
        <v>7215</v>
      </c>
      <c r="G21" s="9">
        <v>7215</v>
      </c>
      <c r="H21" s="9">
        <v>7215</v>
      </c>
      <c r="I21" s="9">
        <v>7215</v>
      </c>
      <c r="J21" s="9">
        <v>7215</v>
      </c>
      <c r="K21" s="9">
        <v>7215</v>
      </c>
      <c r="L21" s="9">
        <v>7215</v>
      </c>
      <c r="M21" s="9">
        <v>7215</v>
      </c>
      <c r="N21" s="10">
        <f t="shared" si="6"/>
        <v>86580</v>
      </c>
    </row>
    <row r="22" spans="1:14" ht="14.4" x14ac:dyDescent="0.3">
      <c r="A22" s="19" t="s">
        <v>18</v>
      </c>
      <c r="B22" s="9">
        <v>7215</v>
      </c>
      <c r="C22" s="9">
        <v>7215</v>
      </c>
      <c r="D22" s="9">
        <v>7215</v>
      </c>
      <c r="E22" s="9">
        <v>7215</v>
      </c>
      <c r="F22" s="9">
        <v>7215</v>
      </c>
      <c r="G22" s="9">
        <v>7215</v>
      </c>
      <c r="H22" s="9">
        <v>7215</v>
      </c>
      <c r="I22" s="9">
        <v>7215</v>
      </c>
      <c r="J22" s="9">
        <v>7215</v>
      </c>
      <c r="K22" s="9">
        <v>7215</v>
      </c>
      <c r="L22" s="9">
        <v>7215</v>
      </c>
      <c r="M22" s="9">
        <v>7215</v>
      </c>
      <c r="N22" s="10">
        <f t="shared" si="6"/>
        <v>86580</v>
      </c>
    </row>
    <row r="23" spans="1:14" ht="14.4" x14ac:dyDescent="0.3">
      <c r="A23" s="19" t="s">
        <v>18</v>
      </c>
      <c r="B23" s="9">
        <v>7215</v>
      </c>
      <c r="C23" s="9">
        <v>7215</v>
      </c>
      <c r="D23" s="9">
        <v>7215</v>
      </c>
      <c r="E23" s="9">
        <v>7215</v>
      </c>
      <c r="F23" s="9">
        <v>7215</v>
      </c>
      <c r="G23" s="9">
        <v>7215</v>
      </c>
      <c r="H23" s="9">
        <v>7215</v>
      </c>
      <c r="I23" s="9">
        <v>7215</v>
      </c>
      <c r="J23" s="9">
        <v>7215</v>
      </c>
      <c r="K23" s="9">
        <v>7215</v>
      </c>
      <c r="L23" s="9">
        <v>7215</v>
      </c>
      <c r="M23" s="9">
        <v>7215</v>
      </c>
      <c r="N23" s="10">
        <f t="shared" si="6"/>
        <v>86580</v>
      </c>
    </row>
    <row r="24" spans="1:14" ht="14.4" x14ac:dyDescent="0.3">
      <c r="A24" s="8" t="s">
        <v>19</v>
      </c>
      <c r="B24" s="9">
        <f>Dados!$E$4*Dados!$F$4</f>
        <v>1000</v>
      </c>
      <c r="C24" s="9">
        <f>Dados!$E$4*Dados!$F$4</f>
        <v>1000</v>
      </c>
      <c r="D24" s="9">
        <f>Dados!$E$4*Dados!$F$4</f>
        <v>1000</v>
      </c>
      <c r="E24" s="9">
        <f>Dados!$E$4*Dados!$F$4</f>
        <v>1000</v>
      </c>
      <c r="F24" s="9">
        <f>Dados!$E$4*Dados!$F$4</f>
        <v>1000</v>
      </c>
      <c r="G24" s="9">
        <f>Dados!$E$4*Dados!$F$4</f>
        <v>1000</v>
      </c>
      <c r="H24" s="9">
        <f>Dados!$E$4*Dados!$F$4</f>
        <v>1000</v>
      </c>
      <c r="I24" s="9">
        <f>Dados!$E$4*Dados!$F$4</f>
        <v>1000</v>
      </c>
      <c r="J24" s="9">
        <f>Dados!$E$4*Dados!$F$4</f>
        <v>1000</v>
      </c>
      <c r="K24" s="9">
        <f>Dados!$E$4*Dados!$F$4</f>
        <v>1000</v>
      </c>
      <c r="L24" s="9">
        <f>Dados!$E$4*Dados!$F$4</f>
        <v>1000</v>
      </c>
      <c r="M24" s="9">
        <f>Dados!$E$4*Dados!$F$4</f>
        <v>1000</v>
      </c>
      <c r="N24" s="10">
        <f t="shared" si="6"/>
        <v>12000</v>
      </c>
    </row>
    <row r="25" spans="1:14" ht="14.4" x14ac:dyDescent="0.3">
      <c r="A25" s="8" t="s">
        <v>20</v>
      </c>
      <c r="B25" s="9">
        <f>Dados!$E$5*Dados!$F$5</f>
        <v>2000</v>
      </c>
      <c r="C25" s="9">
        <f>Dados!$E$5*Dados!$F$5</f>
        <v>2000</v>
      </c>
      <c r="D25" s="9">
        <f>Dados!$E$5*Dados!$F$5</f>
        <v>2000</v>
      </c>
      <c r="E25" s="9">
        <f>Dados!$E$5*Dados!$F$5</f>
        <v>2000</v>
      </c>
      <c r="F25" s="9">
        <f>Dados!$E$5*Dados!$F$5</f>
        <v>2000</v>
      </c>
      <c r="G25" s="9">
        <f>Dados!$E$5*Dados!$F$5</f>
        <v>2000</v>
      </c>
      <c r="H25" s="9">
        <f>Dados!$E$5*Dados!$F$5</f>
        <v>2000</v>
      </c>
      <c r="I25" s="9">
        <f>Dados!$E$5*Dados!$F$5</f>
        <v>2000</v>
      </c>
      <c r="J25" s="9">
        <f>Dados!$E$5*Dados!$F$5</f>
        <v>2000</v>
      </c>
      <c r="K25" s="9">
        <f>Dados!$E$5*Dados!$F$5</f>
        <v>2000</v>
      </c>
      <c r="L25" s="9">
        <f>Dados!$E$5*Dados!$F$5</f>
        <v>2000</v>
      </c>
      <c r="M25" s="9">
        <f>Dados!$E$5*Dados!$F$5</f>
        <v>2000</v>
      </c>
      <c r="N25" s="10">
        <f t="shared" si="6"/>
        <v>24000</v>
      </c>
    </row>
    <row r="26" spans="1:14" ht="14.4" x14ac:dyDescent="0.3">
      <c r="A26" s="8" t="s">
        <v>21</v>
      </c>
      <c r="B26" s="9">
        <f>Dados!$E$6*Dados!$F$6</f>
        <v>2000</v>
      </c>
      <c r="C26" s="9">
        <f>Dados!$E$6*Dados!$F$6</f>
        <v>2000</v>
      </c>
      <c r="D26" s="9">
        <f>Dados!$E$6*Dados!$F$6</f>
        <v>2000</v>
      </c>
      <c r="E26" s="9">
        <f>Dados!$E$6*Dados!$F$6</f>
        <v>2000</v>
      </c>
      <c r="F26" s="9">
        <f>Dados!$E$6*Dados!$F$6</f>
        <v>2000</v>
      </c>
      <c r="G26" s="9">
        <f>Dados!$E$6*Dados!$F$6</f>
        <v>2000</v>
      </c>
      <c r="H26" s="9">
        <f>Dados!$E$6*Dados!$F$6</f>
        <v>2000</v>
      </c>
      <c r="I26" s="9">
        <f>Dados!$E$6*Dados!$F$6</f>
        <v>2000</v>
      </c>
      <c r="J26" s="9">
        <f>Dados!$E$6*Dados!$F$6</f>
        <v>2000</v>
      </c>
      <c r="K26" s="9">
        <f>Dados!$E$6*Dados!$F$6</f>
        <v>2000</v>
      </c>
      <c r="L26" s="9">
        <f>Dados!$E$6*Dados!$F$6</f>
        <v>2000</v>
      </c>
      <c r="M26" s="9">
        <f>Dados!$E$6*Dados!$F$6</f>
        <v>2000</v>
      </c>
      <c r="N26" s="10">
        <f t="shared" si="6"/>
        <v>24000</v>
      </c>
    </row>
    <row r="27" spans="1:14" ht="14.4" x14ac:dyDescent="0.3">
      <c r="A27" s="8" t="s">
        <v>22</v>
      </c>
      <c r="B27" s="9">
        <f>Dados!$E$7*Dados!$F$7</f>
        <v>2000</v>
      </c>
      <c r="C27" s="9">
        <f>Dados!$E$7*Dados!$F$7</f>
        <v>2000</v>
      </c>
      <c r="D27" s="9">
        <f>Dados!$E$7*Dados!$F$7</f>
        <v>2000</v>
      </c>
      <c r="E27" s="9">
        <f>Dados!$E$7*Dados!$F$7</f>
        <v>2000</v>
      </c>
      <c r="F27" s="9">
        <f>Dados!$E$7*Dados!$F$7</f>
        <v>2000</v>
      </c>
      <c r="G27" s="9">
        <f>Dados!$E$7*Dados!$F$7</f>
        <v>2000</v>
      </c>
      <c r="H27" s="9">
        <f>Dados!$E$7*Dados!$F$7</f>
        <v>2000</v>
      </c>
      <c r="I27" s="9">
        <f>Dados!$E$7*Dados!$F$7</f>
        <v>2000</v>
      </c>
      <c r="J27" s="9">
        <f>Dados!$E$7*Dados!$F$7</f>
        <v>2000</v>
      </c>
      <c r="K27" s="9">
        <f>Dados!$E$7*Dados!$F$7</f>
        <v>2000</v>
      </c>
      <c r="L27" s="9">
        <f>Dados!$E$7*Dados!$F$7</f>
        <v>2000</v>
      </c>
      <c r="M27" s="9">
        <f>Dados!$E$7*Dados!$F$7</f>
        <v>2000</v>
      </c>
      <c r="N27" s="10">
        <f t="shared" si="6"/>
        <v>24000</v>
      </c>
    </row>
    <row r="28" spans="1:14" ht="14.4" x14ac:dyDescent="0.3">
      <c r="A28" s="8" t="s">
        <v>23</v>
      </c>
      <c r="B28" s="9">
        <f>Dados!$E$8*Dados!$F$8</f>
        <v>3000</v>
      </c>
      <c r="C28" s="9">
        <f>Dados!$E$8*Dados!$F$8</f>
        <v>3000</v>
      </c>
      <c r="D28" s="9">
        <f>Dados!$E$8*Dados!$F$8</f>
        <v>3000</v>
      </c>
      <c r="E28" s="9">
        <f>Dados!$E$8*Dados!$F$8</f>
        <v>3000</v>
      </c>
      <c r="F28" s="9">
        <f>Dados!$E$8*Dados!$F$8</f>
        <v>3000</v>
      </c>
      <c r="G28" s="9">
        <f>Dados!$E$8*Dados!$F$8</f>
        <v>3000</v>
      </c>
      <c r="H28" s="9">
        <f>Dados!$E$8*Dados!$F$8</f>
        <v>3000</v>
      </c>
      <c r="I28" s="9">
        <f>Dados!$E$8*Dados!$F$8</f>
        <v>3000</v>
      </c>
      <c r="J28" s="9">
        <f>Dados!$E$8*Dados!$F$8</f>
        <v>3000</v>
      </c>
      <c r="K28" s="9">
        <f>Dados!$E$8*Dados!$F$8</f>
        <v>3000</v>
      </c>
      <c r="L28" s="9">
        <f>Dados!$E$8*Dados!$F$8</f>
        <v>3000</v>
      </c>
      <c r="M28" s="9">
        <f>Dados!$E$8*Dados!$F$8</f>
        <v>3000</v>
      </c>
      <c r="N28" s="10">
        <f t="shared" si="6"/>
        <v>36000</v>
      </c>
    </row>
    <row r="29" spans="1:14" ht="14.4" x14ac:dyDescent="0.3">
      <c r="A29" s="8" t="s">
        <v>24</v>
      </c>
      <c r="B29" s="9">
        <f>Dados!$E$9*Dados!$F$9</f>
        <v>0</v>
      </c>
      <c r="C29" s="9">
        <f>Dados!$E$9*Dados!$F$9</f>
        <v>0</v>
      </c>
      <c r="D29" s="9">
        <f>Dados!$E$9*Dados!$F$9</f>
        <v>0</v>
      </c>
      <c r="E29" s="9">
        <f>Dados!$E$9*Dados!$F$9</f>
        <v>0</v>
      </c>
      <c r="F29" s="9">
        <f>Dados!$E$9*Dados!$F$9</f>
        <v>0</v>
      </c>
      <c r="G29" s="9">
        <f>Dados!$E$9*Dados!$F$9</f>
        <v>0</v>
      </c>
      <c r="H29" s="9">
        <f>Dados!$E$9*Dados!$F$9</f>
        <v>0</v>
      </c>
      <c r="I29" s="9">
        <f>Dados!$E$9*Dados!$F$9</f>
        <v>0</v>
      </c>
      <c r="J29" s="9">
        <f>Dados!$E$9*Dados!$F$9</f>
        <v>0</v>
      </c>
      <c r="K29" s="9">
        <f>Dados!$E$9*Dados!$F$9</f>
        <v>0</v>
      </c>
      <c r="L29" s="9">
        <f>Dados!$E$9*Dados!$F$9</f>
        <v>0</v>
      </c>
      <c r="M29" s="9">
        <f>Dados!$E$9*Dados!$F$9</f>
        <v>0</v>
      </c>
      <c r="N29" s="10">
        <f t="shared" si="6"/>
        <v>0</v>
      </c>
    </row>
    <row r="30" spans="1:14" ht="14.4" x14ac:dyDescent="0.3">
      <c r="A30" s="19" t="s">
        <v>25</v>
      </c>
      <c r="B30" s="9">
        <f>Dados!$E$10*Dados!$F$10</f>
        <v>300</v>
      </c>
      <c r="C30" s="9">
        <f>Dados!$E$10*Dados!$F$10</f>
        <v>300</v>
      </c>
      <c r="D30" s="9">
        <f>Dados!$E$10*Dados!$F$10</f>
        <v>300</v>
      </c>
      <c r="E30" s="9">
        <f>Dados!$E$10*Dados!$F$10</f>
        <v>300</v>
      </c>
      <c r="F30" s="9">
        <f>Dados!$E$10*Dados!$F$10</f>
        <v>300</v>
      </c>
      <c r="G30" s="9">
        <f>Dados!$E$10*Dados!$F$10</f>
        <v>300</v>
      </c>
      <c r="H30" s="9">
        <f>Dados!$E$10*Dados!$F$10</f>
        <v>300</v>
      </c>
      <c r="I30" s="9">
        <f>Dados!$E$10*Dados!$F$10</f>
        <v>300</v>
      </c>
      <c r="J30" s="9">
        <f>Dados!$E$10*Dados!$F$10</f>
        <v>300</v>
      </c>
      <c r="K30" s="9">
        <f>Dados!$E$10*Dados!$F$10</f>
        <v>300</v>
      </c>
      <c r="L30" s="9">
        <f>Dados!$E$10*Dados!$F$10</f>
        <v>300</v>
      </c>
      <c r="M30" s="9">
        <f>Dados!$E$10*Dados!$F$10</f>
        <v>300</v>
      </c>
      <c r="N30" s="10">
        <f t="shared" si="6"/>
        <v>3600</v>
      </c>
    </row>
    <row r="31" spans="1:14" ht="14.4" x14ac:dyDescent="0.3">
      <c r="A31" s="19" t="s">
        <v>26</v>
      </c>
      <c r="B31" s="9">
        <v>500</v>
      </c>
      <c r="C31" s="9">
        <v>500</v>
      </c>
      <c r="D31" s="9">
        <v>500</v>
      </c>
      <c r="E31" s="9">
        <v>500</v>
      </c>
      <c r="F31" s="9">
        <v>500</v>
      </c>
      <c r="G31" s="9">
        <v>500</v>
      </c>
      <c r="H31" s="9">
        <v>500</v>
      </c>
      <c r="I31" s="9">
        <v>500</v>
      </c>
      <c r="J31" s="9">
        <v>500</v>
      </c>
      <c r="K31" s="9">
        <v>500</v>
      </c>
      <c r="L31" s="9">
        <v>500</v>
      </c>
      <c r="M31" s="9">
        <v>500</v>
      </c>
      <c r="N31" s="10">
        <f t="shared" si="6"/>
        <v>6000</v>
      </c>
    </row>
    <row r="32" spans="1:14" ht="14.4" x14ac:dyDescent="0.3">
      <c r="A32" s="19" t="s">
        <v>27</v>
      </c>
      <c r="B32" s="9">
        <v>1000</v>
      </c>
      <c r="C32" s="9">
        <v>1000</v>
      </c>
      <c r="D32" s="9">
        <v>1000</v>
      </c>
      <c r="E32" s="9">
        <v>1000</v>
      </c>
      <c r="F32" s="9">
        <v>1000</v>
      </c>
      <c r="G32" s="9">
        <v>1000</v>
      </c>
      <c r="H32" s="9">
        <v>1000</v>
      </c>
      <c r="I32" s="9">
        <v>1000</v>
      </c>
      <c r="J32" s="9">
        <v>1000</v>
      </c>
      <c r="K32" s="9">
        <v>1000</v>
      </c>
      <c r="L32" s="9">
        <v>1000</v>
      </c>
      <c r="M32" s="9">
        <v>1000</v>
      </c>
      <c r="N32" s="10">
        <f t="shared" si="6"/>
        <v>12000</v>
      </c>
    </row>
    <row r="33" spans="1:14" ht="14.4" x14ac:dyDescent="0.3">
      <c r="A33" s="19" t="s">
        <v>28</v>
      </c>
      <c r="B33" s="9">
        <v>500</v>
      </c>
      <c r="C33" s="9">
        <v>500</v>
      </c>
      <c r="D33" s="9">
        <v>500</v>
      </c>
      <c r="E33" s="9">
        <v>500</v>
      </c>
      <c r="F33" s="9">
        <v>500</v>
      </c>
      <c r="G33" s="9">
        <v>500</v>
      </c>
      <c r="H33" s="9">
        <v>500</v>
      </c>
      <c r="I33" s="9">
        <v>500</v>
      </c>
      <c r="J33" s="9">
        <v>500</v>
      </c>
      <c r="K33" s="9">
        <v>500</v>
      </c>
      <c r="L33" s="9">
        <v>500</v>
      </c>
      <c r="M33" s="9">
        <v>500</v>
      </c>
      <c r="N33" s="10">
        <f t="shared" si="6"/>
        <v>6000</v>
      </c>
    </row>
    <row r="34" spans="1:14" ht="14.4" x14ac:dyDescent="0.3">
      <c r="A34" s="19" t="s">
        <v>29</v>
      </c>
      <c r="B34" s="9">
        <v>500</v>
      </c>
      <c r="C34" s="9">
        <v>500</v>
      </c>
      <c r="D34" s="9">
        <v>500</v>
      </c>
      <c r="E34" s="9">
        <v>500</v>
      </c>
      <c r="F34" s="9">
        <v>500</v>
      </c>
      <c r="G34" s="9">
        <v>500</v>
      </c>
      <c r="H34" s="9">
        <v>500</v>
      </c>
      <c r="I34" s="9">
        <v>500</v>
      </c>
      <c r="J34" s="9">
        <v>500</v>
      </c>
      <c r="K34" s="9">
        <v>500</v>
      </c>
      <c r="L34" s="9">
        <v>500</v>
      </c>
      <c r="M34" s="9">
        <v>500</v>
      </c>
      <c r="N34" s="10">
        <f t="shared" si="6"/>
        <v>6000</v>
      </c>
    </row>
    <row r="35" spans="1:14" ht="14.4" x14ac:dyDescent="0.3">
      <c r="A35" s="19" t="s">
        <v>30</v>
      </c>
      <c r="B35" s="9">
        <v>2000</v>
      </c>
      <c r="C35" s="9">
        <v>2000</v>
      </c>
      <c r="D35" s="9">
        <v>2000</v>
      </c>
      <c r="E35" s="9">
        <v>2000</v>
      </c>
      <c r="F35" s="9">
        <v>2000</v>
      </c>
      <c r="G35" s="9">
        <v>2000</v>
      </c>
      <c r="H35" s="9">
        <v>2000</v>
      </c>
      <c r="I35" s="9">
        <v>2000</v>
      </c>
      <c r="J35" s="9">
        <v>2000</v>
      </c>
      <c r="K35" s="9">
        <v>2000</v>
      </c>
      <c r="L35" s="9">
        <v>2000</v>
      </c>
      <c r="M35" s="9">
        <v>2000</v>
      </c>
      <c r="N35" s="10">
        <f t="shared" si="6"/>
        <v>24000</v>
      </c>
    </row>
    <row r="36" spans="1:14" ht="14.4" x14ac:dyDescent="0.3">
      <c r="A36" s="19" t="s">
        <v>31</v>
      </c>
      <c r="B36" s="9">
        <f>Dados!$E$11*Dados!$F$11</f>
        <v>600</v>
      </c>
      <c r="C36" s="9">
        <f>Dados!$E$11*Dados!$F$11</f>
        <v>600</v>
      </c>
      <c r="D36" s="9">
        <f>Dados!$E$11*Dados!$F$11</f>
        <v>600</v>
      </c>
      <c r="E36" s="9">
        <f>Dados!$E$11*Dados!$F$11</f>
        <v>600</v>
      </c>
      <c r="F36" s="9">
        <f>Dados!$E$11*Dados!$F$11</f>
        <v>600</v>
      </c>
      <c r="G36" s="9">
        <f>Dados!$E$11*Dados!$F$11</f>
        <v>600</v>
      </c>
      <c r="H36" s="9">
        <f>Dados!$E$11*Dados!$F$11</f>
        <v>600</v>
      </c>
      <c r="I36" s="9">
        <f>Dados!$E$11*Dados!$F$11</f>
        <v>600</v>
      </c>
      <c r="J36" s="9">
        <f>Dados!$E$11*Dados!$F$11</f>
        <v>600</v>
      </c>
      <c r="K36" s="9">
        <f>Dados!$E$11*Dados!$F$11</f>
        <v>600</v>
      </c>
      <c r="L36" s="9">
        <f>Dados!$E$11*Dados!$F$11</f>
        <v>600</v>
      </c>
      <c r="M36" s="9">
        <f>Dados!$E$11*Dados!$F$11</f>
        <v>600</v>
      </c>
      <c r="N36" s="10">
        <f t="shared" si="6"/>
        <v>7200</v>
      </c>
    </row>
    <row r="37" spans="1:14" ht="14.4" x14ac:dyDescent="0.3">
      <c r="A37" s="19" t="s">
        <v>32</v>
      </c>
      <c r="B37" s="9">
        <f>Dados!$E$12*Dados!$F$12</f>
        <v>1200</v>
      </c>
      <c r="C37" s="9">
        <f>Dados!$E$12*Dados!$F$12</f>
        <v>1200</v>
      </c>
      <c r="D37" s="9">
        <f>Dados!$E$12*Dados!$F$12</f>
        <v>1200</v>
      </c>
      <c r="E37" s="9">
        <f>Dados!$E$12*Dados!$F$12</f>
        <v>1200</v>
      </c>
      <c r="F37" s="9">
        <f>Dados!$E$12*Dados!$F$12</f>
        <v>1200</v>
      </c>
      <c r="G37" s="9">
        <f>Dados!$E$12*Dados!$F$12</f>
        <v>1200</v>
      </c>
      <c r="H37" s="9">
        <f>Dados!$E$12*Dados!$F$12</f>
        <v>1200</v>
      </c>
      <c r="I37" s="9">
        <f>Dados!$E$12*Dados!$F$12</f>
        <v>1200</v>
      </c>
      <c r="J37" s="9">
        <f>Dados!$E$12*Dados!$F$12</f>
        <v>1200</v>
      </c>
      <c r="K37" s="9">
        <f>Dados!$E$12*Dados!$F$12</f>
        <v>1200</v>
      </c>
      <c r="L37" s="9">
        <f>Dados!$E$12*Dados!$F$12</f>
        <v>1200</v>
      </c>
      <c r="M37" s="9">
        <f>Dados!$E$12*Dados!$F$12</f>
        <v>1200</v>
      </c>
      <c r="N37" s="10">
        <f t="shared" si="6"/>
        <v>14400</v>
      </c>
    </row>
    <row r="38" spans="1:14" ht="14.4" x14ac:dyDescent="0.3">
      <c r="A38" s="19" t="s">
        <v>33</v>
      </c>
      <c r="B38" s="9">
        <v>48</v>
      </c>
      <c r="C38" s="9">
        <v>48</v>
      </c>
      <c r="D38" s="9">
        <v>48</v>
      </c>
      <c r="E38" s="9">
        <v>48</v>
      </c>
      <c r="F38" s="9">
        <v>48</v>
      </c>
      <c r="G38" s="9">
        <v>48</v>
      </c>
      <c r="H38" s="9">
        <v>48</v>
      </c>
      <c r="I38" s="9">
        <v>48</v>
      </c>
      <c r="J38" s="9">
        <v>48</v>
      </c>
      <c r="K38" s="9">
        <v>48</v>
      </c>
      <c r="L38" s="9">
        <v>48</v>
      </c>
      <c r="M38" s="9">
        <v>48</v>
      </c>
      <c r="N38" s="10">
        <f t="shared" si="6"/>
        <v>576</v>
      </c>
    </row>
    <row r="39" spans="1:14" ht="14.4" x14ac:dyDescent="0.3">
      <c r="A39" s="19" t="s">
        <v>34</v>
      </c>
      <c r="B39" s="9">
        <v>2000</v>
      </c>
      <c r="C39" s="9">
        <v>2000</v>
      </c>
      <c r="D39" s="9">
        <v>2000</v>
      </c>
      <c r="E39" s="9">
        <v>2000</v>
      </c>
      <c r="F39" s="9">
        <v>2000</v>
      </c>
      <c r="G39" s="9">
        <v>2000</v>
      </c>
      <c r="H39" s="9">
        <v>2000</v>
      </c>
      <c r="I39" s="9">
        <v>2000</v>
      </c>
      <c r="J39" s="9">
        <v>2000</v>
      </c>
      <c r="K39" s="9">
        <v>2000</v>
      </c>
      <c r="L39" s="9">
        <v>2000</v>
      </c>
      <c r="M39" s="9">
        <v>2000</v>
      </c>
      <c r="N39" s="10">
        <f t="shared" si="6"/>
        <v>24000</v>
      </c>
    </row>
    <row r="40" spans="1:14" ht="14.4" x14ac:dyDescent="0.3">
      <c r="A40" s="8" t="s">
        <v>35</v>
      </c>
      <c r="B40" s="10">
        <f>Dados!$E$3</f>
        <v>10000</v>
      </c>
      <c r="C40" s="10">
        <f>Dados!$E$3</f>
        <v>10000</v>
      </c>
      <c r="D40" s="10">
        <f>Dados!$E$3</f>
        <v>10000</v>
      </c>
      <c r="E40" s="10">
        <f>Dados!$E$3</f>
        <v>10000</v>
      </c>
      <c r="F40" s="10">
        <f>Dados!$E$3</f>
        <v>10000</v>
      </c>
      <c r="G40" s="10">
        <f>Dados!$E$3</f>
        <v>10000</v>
      </c>
      <c r="H40" s="10">
        <f>Dados!$E$3</f>
        <v>10000</v>
      </c>
      <c r="I40" s="10">
        <f>Dados!$E$3</f>
        <v>10000</v>
      </c>
      <c r="J40" s="10">
        <f>Dados!$E$3</f>
        <v>10000</v>
      </c>
      <c r="K40" s="10">
        <f>Dados!$E$3</f>
        <v>10000</v>
      </c>
      <c r="L40" s="10">
        <f>Dados!$E$3</f>
        <v>10000</v>
      </c>
      <c r="M40" s="10">
        <f>Dados!$E$3</f>
        <v>10000</v>
      </c>
      <c r="N40" s="10">
        <f t="shared" si="6"/>
        <v>120000</v>
      </c>
    </row>
    <row r="41" spans="1:14" ht="27" customHeight="1" x14ac:dyDescent="0.3">
      <c r="A41" s="4" t="s">
        <v>36</v>
      </c>
      <c r="B41" s="5">
        <f>ROUND(B9-B19,2)</f>
        <v>44584.72</v>
      </c>
      <c r="C41" s="5">
        <f>ROUND(C9-C19,2)</f>
        <v>46273.61</v>
      </c>
      <c r="D41" s="5">
        <f>ROUND(D9-D19,2)</f>
        <v>47962.5</v>
      </c>
      <c r="E41" s="5">
        <f>ROUND(E9-E19,2)</f>
        <v>49651.39</v>
      </c>
      <c r="F41" s="5">
        <f>ROUND(F9-F19,2)</f>
        <v>51340.27</v>
      </c>
      <c r="G41" s="5">
        <f>ROUND(G9-G19,2)</f>
        <v>53029.16</v>
      </c>
      <c r="H41" s="5">
        <f>ROUND(H9-H19,2)</f>
        <v>54718.05</v>
      </c>
      <c r="I41" s="5">
        <f>ROUND(I9-I19,2)</f>
        <v>56406.94</v>
      </c>
      <c r="J41" s="5">
        <f>ROUND(J9-J19,2)</f>
        <v>58095.83</v>
      </c>
      <c r="K41" s="5">
        <f>ROUND(K9-K19,2)</f>
        <v>59784.71</v>
      </c>
      <c r="L41" s="5">
        <f>ROUND(L9-L19,2)</f>
        <v>61473.599999999999</v>
      </c>
      <c r="M41" s="5">
        <f>ROUND(M9-M19,2)</f>
        <v>63162.49</v>
      </c>
      <c r="N41" s="5">
        <f>ROUND(SUM(B41:M41),2)</f>
        <v>646483.27</v>
      </c>
    </row>
    <row r="42" spans="1:14" ht="14.4" x14ac:dyDescent="0.3">
      <c r="A42" s="6" t="s">
        <v>37</v>
      </c>
      <c r="B42" s="13">
        <f>B41/B8</f>
        <v>0.25300591183506044</v>
      </c>
      <c r="C42" s="13">
        <f>C41/C8</f>
        <v>0.25847083668755055</v>
      </c>
      <c r="D42" s="13">
        <f>D41/D8</f>
        <v>0.26376696077239609</v>
      </c>
      <c r="E42" s="13">
        <f>E41/E8</f>
        <v>0.26890198602576354</v>
      </c>
      <c r="F42" s="13">
        <f>F41/F8</f>
        <v>0.27388309949793127</v>
      </c>
      <c r="G42" s="13">
        <f>G41/G8</f>
        <v>0.27871722158919882</v>
      </c>
      <c r="H42" s="13">
        <f>H41/H8</f>
        <v>0.28341071467417489</v>
      </c>
      <c r="I42" s="13">
        <f>I41/I8</f>
        <v>0.28796962731226983</v>
      </c>
      <c r="J42" s="13">
        <f>J41/J8</f>
        <v>0.29239966609487106</v>
      </c>
      <c r="K42" s="13">
        <f>K41/K8</f>
        <v>0.29670616984676079</v>
      </c>
      <c r="L42" s="13">
        <f>L41/L8</f>
        <v>0.30089433068984733</v>
      </c>
      <c r="M42" s="13">
        <f>M41/M8</f>
        <v>0.30496891428973144</v>
      </c>
      <c r="N42" s="13">
        <f>AVERAGE(B42:M42)</f>
        <v>0.28025795327629632</v>
      </c>
    </row>
    <row r="46" spans="1:14" ht="14.4" x14ac:dyDescent="0.3">
      <c r="A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</row>
    <row r="47" spans="1:14" ht="14.4" x14ac:dyDescent="0.3">
      <c r="A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2"/>
    </row>
    <row r="48" spans="1:14" ht="14.4" x14ac:dyDescent="0.3">
      <c r="A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  <row r="49" spans="1:14" ht="14.4" x14ac:dyDescent="0.3">
      <c r="A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</row>
    <row r="50" spans="1:14" ht="14.4" x14ac:dyDescent="0.3">
      <c r="A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2"/>
    </row>
    <row r="51" spans="1:14" ht="14.4" x14ac:dyDescent="0.3">
      <c r="A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</row>
    <row r="52" spans="1:14" ht="14.4" x14ac:dyDescent="0.3">
      <c r="A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1:14" ht="14.4" x14ac:dyDescent="0.3">
      <c r="A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1:14" ht="14.4" x14ac:dyDescent="0.3">
      <c r="A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1:14" ht="14.4" x14ac:dyDescent="0.3">
      <c r="A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1:14" ht="14.4" x14ac:dyDescent="0.3">
      <c r="A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</row>
    <row r="57" spans="1:14" ht="14.4" x14ac:dyDescent="0.3">
      <c r="A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2"/>
    </row>
    <row r="58" spans="1:14" ht="14.4" x14ac:dyDescent="0.3">
      <c r="A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ht="14.4" x14ac:dyDescent="0.3">
      <c r="A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1:14" ht="14.4" x14ac:dyDescent="0.3">
      <c r="A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14.4" x14ac:dyDescent="0.3">
      <c r="A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</row>
    <row r="62" spans="1:14" ht="14.4" x14ac:dyDescent="0.3">
      <c r="A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ht="14.4" x14ac:dyDescent="0.3">
      <c r="A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1:14" ht="14.4" x14ac:dyDescent="0.3">
      <c r="A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14.4" x14ac:dyDescent="0.3">
      <c r="A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2"/>
    </row>
    <row r="66" spans="1:14" ht="14.4" x14ac:dyDescent="0.3">
      <c r="A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14.4" x14ac:dyDescent="0.3">
      <c r="A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14.4" x14ac:dyDescent="0.3">
      <c r="A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14.4" x14ac:dyDescent="0.3">
      <c r="A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</row>
    <row r="70" spans="1:14" ht="14.4" x14ac:dyDescent="0.3">
      <c r="A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ht="14.4" x14ac:dyDescent="0.3">
      <c r="A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2"/>
    </row>
    <row r="72" spans="1:14" ht="14.4" x14ac:dyDescent="0.3">
      <c r="A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14.4" x14ac:dyDescent="0.3">
      <c r="A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2"/>
    </row>
    <row r="74" spans="1:14" ht="14.4" x14ac:dyDescent="0.3">
      <c r="A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14.4" x14ac:dyDescent="0.3">
      <c r="A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2"/>
    </row>
    <row r="76" spans="1:14" ht="14.4" x14ac:dyDescent="0.3">
      <c r="A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</row>
    <row r="77" spans="1:14" ht="14.4" x14ac:dyDescent="0.3">
      <c r="A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2"/>
    </row>
    <row r="78" spans="1:14" ht="14.4" x14ac:dyDescent="0.3">
      <c r="A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14.4" x14ac:dyDescent="0.3">
      <c r="A79" s="20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</row>
    <row r="80" spans="1:14" ht="14.4" x14ac:dyDescent="0.3">
      <c r="A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14.4" x14ac:dyDescent="0.3">
      <c r="A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2"/>
    </row>
    <row r="82" spans="1:14" ht="14.4" x14ac:dyDescent="0.3">
      <c r="A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</row>
    <row r="83" spans="1:14" ht="14.4" x14ac:dyDescent="0.3">
      <c r="A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2"/>
    </row>
    <row r="84" spans="1:14" ht="14.4" x14ac:dyDescent="0.3">
      <c r="A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14.4" x14ac:dyDescent="0.3">
      <c r="A85" s="20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2"/>
    </row>
    <row r="86" spans="1:14" ht="14.4" x14ac:dyDescent="0.3">
      <c r="A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14.4" x14ac:dyDescent="0.3">
      <c r="A87" s="20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2"/>
    </row>
    <row r="88" spans="1:14" ht="14.4" x14ac:dyDescent="0.3">
      <c r="A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14.4" x14ac:dyDescent="0.3">
      <c r="A89" s="20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2"/>
    </row>
    <row r="90" spans="1:14" ht="14.4" x14ac:dyDescent="0.3">
      <c r="A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</row>
    <row r="91" spans="1:14" ht="14.4" x14ac:dyDescent="0.3">
      <c r="A91" s="20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2"/>
    </row>
    <row r="92" spans="1:14" ht="14.4" x14ac:dyDescent="0.3">
      <c r="A92" s="20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14.4" x14ac:dyDescent="0.3">
      <c r="A93" s="20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</row>
    <row r="94" spans="1:14" ht="14.4" x14ac:dyDescent="0.3">
      <c r="A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14.4" x14ac:dyDescent="0.3">
      <c r="A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2"/>
    </row>
    <row r="96" spans="1:14" ht="14.4" x14ac:dyDescent="0.3">
      <c r="A96" s="20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14.4" x14ac:dyDescent="0.3">
      <c r="A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2"/>
    </row>
    <row r="98" spans="1:14" ht="14.4" x14ac:dyDescent="0.3">
      <c r="A98" s="20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14.4" x14ac:dyDescent="0.3">
      <c r="A99" s="20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2"/>
    </row>
    <row r="100" spans="1:14" ht="14.4" x14ac:dyDescent="0.3">
      <c r="A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14.4" x14ac:dyDescent="0.3">
      <c r="A101" s="20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2"/>
    </row>
    <row r="102" spans="1:14" ht="14.4" x14ac:dyDescent="0.3">
      <c r="A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14.4" x14ac:dyDescent="0.3">
      <c r="A103" s="20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2"/>
    </row>
    <row r="104" spans="1:14" ht="14.4" x14ac:dyDescent="0.3">
      <c r="A104" s="20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14.4" x14ac:dyDescent="0.3">
      <c r="A105" s="20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2"/>
    </row>
    <row r="106" spans="1:14" ht="14.4" x14ac:dyDescent="0.3">
      <c r="A106" s="20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</row>
    <row r="107" spans="1:14" ht="14.4" x14ac:dyDescent="0.3">
      <c r="A107" s="20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2"/>
    </row>
    <row r="108" spans="1:14" ht="14.4" x14ac:dyDescent="0.3">
      <c r="A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14.4" x14ac:dyDescent="0.3">
      <c r="A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2"/>
    </row>
    <row r="110" spans="1:14" ht="14.4" x14ac:dyDescent="0.3">
      <c r="A110" s="20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14.4" x14ac:dyDescent="0.3">
      <c r="A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2"/>
    </row>
    <row r="112" spans="1:14" ht="14.4" x14ac:dyDescent="0.3">
      <c r="A112" s="20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2"/>
    </row>
    <row r="113" spans="1:14" ht="14.4" x14ac:dyDescent="0.3">
      <c r="A113" s="20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2"/>
    </row>
    <row r="114" spans="1:14" ht="14.4" x14ac:dyDescent="0.3">
      <c r="A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2"/>
    </row>
    <row r="115" spans="1:14" ht="14.4" x14ac:dyDescent="0.3">
      <c r="A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2"/>
    </row>
    <row r="116" spans="1:14" ht="14.4" x14ac:dyDescent="0.3">
      <c r="A116" s="20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2"/>
    </row>
    <row r="117" spans="1:14" ht="14.4" x14ac:dyDescent="0.3">
      <c r="A117" s="20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2"/>
    </row>
    <row r="118" spans="1:14" ht="14.4" x14ac:dyDescent="0.3">
      <c r="A118" s="20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2"/>
    </row>
    <row r="119" spans="1:14" ht="14.4" x14ac:dyDescent="0.3">
      <c r="A119" s="20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2"/>
    </row>
    <row r="120" spans="1:14" ht="14.4" x14ac:dyDescent="0.3">
      <c r="A120" s="20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2"/>
    </row>
    <row r="121" spans="1:14" ht="14.4" x14ac:dyDescent="0.3">
      <c r="A121" s="20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2"/>
    </row>
    <row r="122" spans="1:14" ht="14.4" x14ac:dyDescent="0.3">
      <c r="A122" s="20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2"/>
    </row>
    <row r="123" spans="1:14" ht="14.4" x14ac:dyDescent="0.3">
      <c r="A123" s="20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2"/>
    </row>
    <row r="124" spans="1:14" ht="14.4" x14ac:dyDescent="0.3">
      <c r="A124" s="20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2"/>
    </row>
    <row r="125" spans="1:14" ht="14.4" x14ac:dyDescent="0.3">
      <c r="A125" s="20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2"/>
    </row>
    <row r="126" spans="1:14" ht="14.4" x14ac:dyDescent="0.3">
      <c r="A126" s="20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2"/>
    </row>
    <row r="127" spans="1:14" ht="14.4" x14ac:dyDescent="0.3">
      <c r="A127" s="20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2"/>
    </row>
    <row r="128" spans="1:14" ht="14.4" x14ac:dyDescent="0.3">
      <c r="A128" s="20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2"/>
    </row>
    <row r="129" spans="1:14" ht="14.4" x14ac:dyDescent="0.3">
      <c r="A129" s="20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2"/>
    </row>
    <row r="130" spans="1:14" ht="14.4" x14ac:dyDescent="0.3">
      <c r="A130" s="20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2"/>
    </row>
    <row r="131" spans="1:14" ht="14.4" x14ac:dyDescent="0.3">
      <c r="A131" s="20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2"/>
    </row>
    <row r="132" spans="1:14" ht="14.4" x14ac:dyDescent="0.3">
      <c r="A132" s="20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2"/>
    </row>
    <row r="133" spans="1:14" ht="14.4" x14ac:dyDescent="0.3">
      <c r="A133" s="20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2"/>
    </row>
    <row r="134" spans="1:14" ht="14.4" x14ac:dyDescent="0.3">
      <c r="A134" s="20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2"/>
    </row>
    <row r="135" spans="1:14" ht="14.4" x14ac:dyDescent="0.3">
      <c r="A135" s="20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2"/>
    </row>
    <row r="136" spans="1:14" ht="14.4" x14ac:dyDescent="0.3">
      <c r="A136" s="20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2"/>
    </row>
    <row r="137" spans="1:14" ht="14.4" x14ac:dyDescent="0.3">
      <c r="A137" s="20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2"/>
    </row>
    <row r="138" spans="1:14" ht="14.4" x14ac:dyDescent="0.3">
      <c r="A138" s="20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2"/>
    </row>
    <row r="139" spans="1:14" ht="14.4" x14ac:dyDescent="0.3">
      <c r="A139" s="20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2"/>
    </row>
    <row r="140" spans="1:14" ht="14.4" x14ac:dyDescent="0.3">
      <c r="A140" s="20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2"/>
    </row>
    <row r="141" spans="1:14" ht="14.4" x14ac:dyDescent="0.3">
      <c r="A141" s="20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2"/>
    </row>
    <row r="142" spans="1:14" ht="14.4" x14ac:dyDescent="0.3">
      <c r="A142" s="20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2"/>
    </row>
    <row r="143" spans="1:14" ht="14.4" x14ac:dyDescent="0.3">
      <c r="A143" s="20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2"/>
    </row>
    <row r="144" spans="1:14" ht="14.4" x14ac:dyDescent="0.3">
      <c r="A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2"/>
    </row>
    <row r="145" spans="1:14" ht="14.4" x14ac:dyDescent="0.3">
      <c r="A145" s="20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2"/>
    </row>
    <row r="146" spans="1:14" ht="14.4" x14ac:dyDescent="0.3">
      <c r="A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2"/>
    </row>
    <row r="147" spans="1:14" ht="14.4" x14ac:dyDescent="0.3">
      <c r="A147" s="20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2"/>
    </row>
    <row r="148" spans="1:14" ht="14.4" x14ac:dyDescent="0.3">
      <c r="A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2"/>
    </row>
    <row r="149" spans="1:14" ht="14.4" x14ac:dyDescent="0.3">
      <c r="A149" s="20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2"/>
    </row>
    <row r="150" spans="1:14" ht="14.4" x14ac:dyDescent="0.3">
      <c r="A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2"/>
    </row>
    <row r="151" spans="1:14" ht="14.4" x14ac:dyDescent="0.3">
      <c r="A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2"/>
    </row>
    <row r="152" spans="1:14" ht="14.4" x14ac:dyDescent="0.3">
      <c r="A152" s="20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2"/>
    </row>
    <row r="153" spans="1:14" ht="14.4" x14ac:dyDescent="0.3">
      <c r="A153" s="20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2"/>
    </row>
    <row r="154" spans="1:14" ht="14.4" x14ac:dyDescent="0.3">
      <c r="A154" s="20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2"/>
    </row>
    <row r="155" spans="1:14" ht="14.4" x14ac:dyDescent="0.3">
      <c r="A155" s="20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2"/>
    </row>
    <row r="156" spans="1:14" ht="14.4" x14ac:dyDescent="0.3">
      <c r="A156" s="20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2"/>
    </row>
    <row r="157" spans="1:14" ht="14.4" x14ac:dyDescent="0.3">
      <c r="A157" s="20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2"/>
    </row>
    <row r="158" spans="1:14" ht="14.4" x14ac:dyDescent="0.3">
      <c r="A158" s="20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2"/>
    </row>
    <row r="159" spans="1:14" ht="14.4" x14ac:dyDescent="0.3">
      <c r="A159" s="20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2"/>
    </row>
    <row r="160" spans="1:14" ht="14.4" x14ac:dyDescent="0.3">
      <c r="A160" s="20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2"/>
    </row>
    <row r="161" spans="1:14" ht="14.4" x14ac:dyDescent="0.3">
      <c r="A161" s="20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2"/>
    </row>
    <row r="162" spans="1:14" ht="14.4" x14ac:dyDescent="0.3">
      <c r="A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2"/>
    </row>
    <row r="163" spans="1:14" ht="14.4" x14ac:dyDescent="0.3">
      <c r="A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2"/>
    </row>
    <row r="164" spans="1:14" ht="14.4" x14ac:dyDescent="0.3">
      <c r="A164" s="20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2"/>
    </row>
    <row r="165" spans="1:14" ht="14.4" x14ac:dyDescent="0.3">
      <c r="A165" s="20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2"/>
    </row>
    <row r="166" spans="1:14" ht="14.4" x14ac:dyDescent="0.3">
      <c r="A166" s="20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2"/>
    </row>
    <row r="167" spans="1:14" ht="14.4" x14ac:dyDescent="0.3">
      <c r="A167" s="20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2"/>
    </row>
    <row r="168" spans="1:14" ht="14.4" x14ac:dyDescent="0.3">
      <c r="A168" s="20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</row>
    <row r="169" spans="1:14" ht="14.4" x14ac:dyDescent="0.3">
      <c r="A169" s="20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2"/>
    </row>
    <row r="170" spans="1:14" ht="14.4" x14ac:dyDescent="0.3">
      <c r="A170" s="20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14.4" x14ac:dyDescent="0.3">
      <c r="A171" s="20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2"/>
    </row>
    <row r="172" spans="1:14" ht="14.4" x14ac:dyDescent="0.3">
      <c r="A172" s="20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</row>
    <row r="173" spans="1:14" ht="14.4" x14ac:dyDescent="0.3">
      <c r="A173" s="20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2"/>
    </row>
    <row r="174" spans="1:14" ht="14.4" x14ac:dyDescent="0.3">
      <c r="A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14.4" x14ac:dyDescent="0.3">
      <c r="A175" s="20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2"/>
    </row>
    <row r="176" spans="1:14" ht="14.4" x14ac:dyDescent="0.3">
      <c r="A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14.4" x14ac:dyDescent="0.3">
      <c r="A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2"/>
    </row>
    <row r="178" spans="1:14" ht="14.4" x14ac:dyDescent="0.3">
      <c r="A178" s="20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14.4" x14ac:dyDescent="0.3">
      <c r="A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2"/>
    </row>
    <row r="180" spans="1:14" ht="14.4" x14ac:dyDescent="0.3">
      <c r="A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</row>
    <row r="181" spans="1:14" ht="14.4" x14ac:dyDescent="0.3">
      <c r="A181" s="20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2"/>
    </row>
    <row r="182" spans="1:14" ht="14.4" x14ac:dyDescent="0.3">
      <c r="A182" s="20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14.4" x14ac:dyDescent="0.3">
      <c r="A183" s="20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2"/>
    </row>
    <row r="184" spans="1:14" ht="14.4" x14ac:dyDescent="0.3">
      <c r="A184" s="20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14.4" x14ac:dyDescent="0.3">
      <c r="A185" s="20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2"/>
    </row>
    <row r="186" spans="1:14" ht="14.4" x14ac:dyDescent="0.3">
      <c r="A186" s="20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14.4" x14ac:dyDescent="0.3">
      <c r="A187" s="20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2"/>
    </row>
    <row r="188" spans="1:14" ht="14.4" x14ac:dyDescent="0.3">
      <c r="A188" s="20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14.4" x14ac:dyDescent="0.3">
      <c r="A189" s="20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2"/>
    </row>
    <row r="190" spans="1:14" ht="14.4" x14ac:dyDescent="0.3">
      <c r="A190" s="20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14.4" x14ac:dyDescent="0.3">
      <c r="A191" s="20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2"/>
    </row>
    <row r="192" spans="1:14" ht="14.4" x14ac:dyDescent="0.3">
      <c r="A192" s="20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14.4" x14ac:dyDescent="0.3">
      <c r="A193" s="20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2"/>
    </row>
    <row r="194" spans="1:14" ht="14.4" x14ac:dyDescent="0.3">
      <c r="A194" s="20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14.4" x14ac:dyDescent="0.3">
      <c r="A195" s="20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2"/>
    </row>
    <row r="196" spans="1:14" ht="14.4" x14ac:dyDescent="0.3">
      <c r="A196" s="20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14.4" x14ac:dyDescent="0.3">
      <c r="A197" s="20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2"/>
    </row>
    <row r="198" spans="1:14" ht="14.4" x14ac:dyDescent="0.3">
      <c r="A198" s="20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14.4" x14ac:dyDescent="0.3">
      <c r="A199" s="20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2"/>
    </row>
    <row r="200" spans="1:14" ht="14.4" x14ac:dyDescent="0.3">
      <c r="A200" s="20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14.4" x14ac:dyDescent="0.3">
      <c r="A201" s="20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2"/>
    </row>
    <row r="202" spans="1:14" ht="14.4" x14ac:dyDescent="0.3">
      <c r="A202" s="20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14.4" x14ac:dyDescent="0.3">
      <c r="A203" s="20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2"/>
    </row>
    <row r="204" spans="1:14" ht="14.4" x14ac:dyDescent="0.3">
      <c r="A204" s="20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14.4" x14ac:dyDescent="0.3">
      <c r="A205" s="20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2"/>
    </row>
    <row r="206" spans="1:14" ht="14.4" x14ac:dyDescent="0.3">
      <c r="A206" s="20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14.4" x14ac:dyDescent="0.3">
      <c r="A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2"/>
    </row>
    <row r="208" spans="1:14" ht="14.4" x14ac:dyDescent="0.3">
      <c r="A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14.4" x14ac:dyDescent="0.3">
      <c r="A209" s="20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2"/>
    </row>
    <row r="210" spans="1:14" ht="14.4" x14ac:dyDescent="0.3">
      <c r="A210" s="20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14.4" x14ac:dyDescent="0.3">
      <c r="A211" s="20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2"/>
    </row>
    <row r="212" spans="1:14" ht="14.4" x14ac:dyDescent="0.3">
      <c r="A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14.4" x14ac:dyDescent="0.3">
      <c r="A213" s="20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2"/>
    </row>
    <row r="214" spans="1:14" ht="14.4" x14ac:dyDescent="0.3">
      <c r="A214" s="20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14.4" x14ac:dyDescent="0.3">
      <c r="A215" s="20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2"/>
    </row>
    <row r="216" spans="1:14" ht="14.4" x14ac:dyDescent="0.3">
      <c r="A216" s="20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14.4" x14ac:dyDescent="0.3">
      <c r="A217" s="20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2"/>
    </row>
    <row r="218" spans="1:14" ht="14.4" x14ac:dyDescent="0.3">
      <c r="A218" s="20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2"/>
    </row>
    <row r="219" spans="1:14" ht="14.4" x14ac:dyDescent="0.3">
      <c r="A219" s="20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2"/>
    </row>
    <row r="220" spans="1:14" ht="14.4" x14ac:dyDescent="0.3">
      <c r="A220" s="20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14.4" x14ac:dyDescent="0.3">
      <c r="A221" s="20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2"/>
    </row>
    <row r="222" spans="1:14" ht="14.4" x14ac:dyDescent="0.3">
      <c r="A222" s="20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2"/>
    </row>
    <row r="223" spans="1:14" ht="14.4" x14ac:dyDescent="0.3">
      <c r="A223" s="20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2"/>
    </row>
    <row r="224" spans="1:14" ht="14.4" x14ac:dyDescent="0.3">
      <c r="A224" s="20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2"/>
    </row>
    <row r="225" spans="1:14" ht="14.4" x14ac:dyDescent="0.3">
      <c r="A225" s="20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2"/>
    </row>
    <row r="226" spans="1:14" ht="14.4" x14ac:dyDescent="0.3">
      <c r="A226" s="20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2"/>
    </row>
    <row r="227" spans="1:14" ht="14.4" x14ac:dyDescent="0.3">
      <c r="A227" s="20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2"/>
    </row>
    <row r="228" spans="1:14" ht="14.4" x14ac:dyDescent="0.3">
      <c r="A228" s="20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2"/>
    </row>
    <row r="229" spans="1:14" ht="14.4" x14ac:dyDescent="0.3">
      <c r="A229" s="20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2"/>
    </row>
    <row r="230" spans="1:14" ht="14.4" x14ac:dyDescent="0.3">
      <c r="A230" s="20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2"/>
    </row>
    <row r="231" spans="1:14" ht="14.4" x14ac:dyDescent="0.3">
      <c r="A231" s="20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2"/>
    </row>
    <row r="232" spans="1:14" ht="14.4" x14ac:dyDescent="0.3">
      <c r="A232" s="20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2"/>
    </row>
    <row r="233" spans="1:14" ht="14.4" x14ac:dyDescent="0.3">
      <c r="A233" s="20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2"/>
    </row>
    <row r="234" spans="1:14" ht="14.4" x14ac:dyDescent="0.3">
      <c r="A234" s="20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2"/>
    </row>
    <row r="235" spans="1:14" ht="14.4" x14ac:dyDescent="0.3">
      <c r="A235" s="20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2"/>
    </row>
    <row r="236" spans="1:14" ht="14.4" x14ac:dyDescent="0.3">
      <c r="A236" s="20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2"/>
    </row>
    <row r="237" spans="1:14" ht="14.4" x14ac:dyDescent="0.3">
      <c r="A237" s="20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2"/>
    </row>
    <row r="238" spans="1:14" ht="14.4" x14ac:dyDescent="0.3">
      <c r="A238" s="20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2"/>
    </row>
    <row r="239" spans="1:14" ht="14.4" x14ac:dyDescent="0.3">
      <c r="A239" s="20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2"/>
    </row>
    <row r="240" spans="1:14" ht="14.4" x14ac:dyDescent="0.3">
      <c r="A240" s="20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2"/>
    </row>
    <row r="241" spans="1:14" ht="14.4" x14ac:dyDescent="0.3">
      <c r="A241" s="20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2"/>
    </row>
    <row r="242" spans="1:14" ht="14.4" x14ac:dyDescent="0.3">
      <c r="A242" s="20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2"/>
    </row>
    <row r="243" spans="1:14" ht="14.4" x14ac:dyDescent="0.3">
      <c r="A243" s="20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2"/>
    </row>
    <row r="244" spans="1:14" ht="14.4" x14ac:dyDescent="0.3">
      <c r="A244" s="20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2"/>
    </row>
    <row r="245" spans="1:14" ht="14.4" x14ac:dyDescent="0.3">
      <c r="A245" s="20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2"/>
    </row>
    <row r="246" spans="1:14" ht="14.4" x14ac:dyDescent="0.3">
      <c r="A246" s="20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2"/>
    </row>
    <row r="247" spans="1:14" ht="14.4" x14ac:dyDescent="0.3">
      <c r="A247" s="20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2"/>
    </row>
    <row r="248" spans="1:14" ht="14.4" x14ac:dyDescent="0.3">
      <c r="A248" s="20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2"/>
    </row>
    <row r="249" spans="1:14" ht="14.4" x14ac:dyDescent="0.3">
      <c r="A249" s="20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2"/>
    </row>
    <row r="250" spans="1:14" ht="14.4" x14ac:dyDescent="0.3">
      <c r="A250" s="20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2"/>
    </row>
    <row r="251" spans="1:14" ht="14.4" x14ac:dyDescent="0.3">
      <c r="A251" s="20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2"/>
    </row>
    <row r="252" spans="1:14" ht="14.4" x14ac:dyDescent="0.3">
      <c r="A252" s="20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2"/>
    </row>
    <row r="253" spans="1:14" ht="14.4" x14ac:dyDescent="0.3">
      <c r="A253" s="20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2"/>
    </row>
    <row r="254" spans="1:14" ht="14.4" x14ac:dyDescent="0.3">
      <c r="A254" s="20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2"/>
    </row>
    <row r="255" spans="1:14" ht="14.4" x14ac:dyDescent="0.3">
      <c r="A255" s="20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2"/>
    </row>
    <row r="256" spans="1:14" ht="14.4" x14ac:dyDescent="0.3">
      <c r="A256" s="20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2"/>
    </row>
    <row r="257" spans="1:14" ht="14.4" x14ac:dyDescent="0.3">
      <c r="A257" s="20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2"/>
    </row>
    <row r="258" spans="1:14" ht="14.4" x14ac:dyDescent="0.3">
      <c r="A258" s="20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2"/>
    </row>
    <row r="259" spans="1:14" ht="14.4" x14ac:dyDescent="0.3">
      <c r="A259" s="20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2"/>
    </row>
    <row r="260" spans="1:14" ht="14.4" x14ac:dyDescent="0.3">
      <c r="A260" s="20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2"/>
    </row>
    <row r="261" spans="1:14" ht="14.4" x14ac:dyDescent="0.3">
      <c r="A261" s="20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2"/>
    </row>
    <row r="262" spans="1:14" ht="14.4" x14ac:dyDescent="0.3">
      <c r="A262" s="20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2"/>
    </row>
    <row r="263" spans="1:14" ht="14.4" x14ac:dyDescent="0.3">
      <c r="A263" s="20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2"/>
    </row>
    <row r="264" spans="1:14" ht="14.4" x14ac:dyDescent="0.3">
      <c r="A264" s="20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2"/>
    </row>
    <row r="265" spans="1:14" ht="14.4" x14ac:dyDescent="0.3">
      <c r="A265" s="20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2"/>
    </row>
    <row r="266" spans="1:14" ht="14.4" x14ac:dyDescent="0.3">
      <c r="A266" s="20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2"/>
    </row>
    <row r="267" spans="1:14" ht="14.4" x14ac:dyDescent="0.3">
      <c r="A267" s="20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2"/>
    </row>
    <row r="268" spans="1:14" ht="14.4" x14ac:dyDescent="0.3">
      <c r="A268" s="20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2"/>
    </row>
    <row r="269" spans="1:14" ht="14.4" x14ac:dyDescent="0.3">
      <c r="A269" s="20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2"/>
    </row>
    <row r="270" spans="1:14" ht="14.4" x14ac:dyDescent="0.3">
      <c r="A270" s="20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2"/>
    </row>
    <row r="271" spans="1:14" ht="14.4" x14ac:dyDescent="0.3">
      <c r="A271" s="20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2"/>
    </row>
    <row r="272" spans="1:14" ht="14.4" x14ac:dyDescent="0.3">
      <c r="A272" s="20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2"/>
    </row>
    <row r="273" spans="1:14" ht="14.4" x14ac:dyDescent="0.3">
      <c r="A273" s="20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2"/>
    </row>
    <row r="274" spans="1:14" ht="14.4" x14ac:dyDescent="0.3">
      <c r="A274" s="20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2"/>
    </row>
    <row r="275" spans="1:14" ht="14.4" x14ac:dyDescent="0.3">
      <c r="A275" s="20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2"/>
    </row>
    <row r="276" spans="1:14" ht="14.4" x14ac:dyDescent="0.3">
      <c r="A276" s="20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2"/>
    </row>
    <row r="277" spans="1:14" ht="14.4" x14ac:dyDescent="0.3">
      <c r="A277" s="20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2"/>
    </row>
    <row r="278" spans="1:14" ht="14.4" x14ac:dyDescent="0.3">
      <c r="A278" s="20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 spans="1:14" ht="14.4" x14ac:dyDescent="0.3">
      <c r="A279" s="20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2"/>
    </row>
    <row r="280" spans="1:14" ht="14.4" x14ac:dyDescent="0.3">
      <c r="A280" s="20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14.4" x14ac:dyDescent="0.3">
      <c r="A281" s="20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2"/>
    </row>
    <row r="282" spans="1:14" ht="14.4" x14ac:dyDescent="0.3">
      <c r="A282" s="20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2"/>
    </row>
    <row r="283" spans="1:14" ht="14.4" x14ac:dyDescent="0.3">
      <c r="A283" s="20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2"/>
    </row>
    <row r="284" spans="1:14" ht="14.4" x14ac:dyDescent="0.3">
      <c r="A284" s="20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14.4" x14ac:dyDescent="0.3">
      <c r="A285" s="20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2"/>
    </row>
    <row r="286" spans="1:14" ht="14.4" x14ac:dyDescent="0.3">
      <c r="A286" s="20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14.4" x14ac:dyDescent="0.3">
      <c r="A287" s="20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2"/>
    </row>
    <row r="288" spans="1:14" ht="14.4" x14ac:dyDescent="0.3">
      <c r="A288" s="20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14.4" x14ac:dyDescent="0.3">
      <c r="A289" s="20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2"/>
    </row>
    <row r="290" spans="1:14" ht="14.4" x14ac:dyDescent="0.3">
      <c r="A290" s="20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14.4" x14ac:dyDescent="0.3">
      <c r="A291" s="20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2"/>
    </row>
    <row r="292" spans="1:14" ht="14.4" x14ac:dyDescent="0.3">
      <c r="A292" s="20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14.4" x14ac:dyDescent="0.3">
      <c r="A293" s="20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2"/>
    </row>
    <row r="294" spans="1:14" ht="14.4" x14ac:dyDescent="0.3">
      <c r="A294" s="20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14.4" x14ac:dyDescent="0.3">
      <c r="A295" s="20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2"/>
    </row>
    <row r="296" spans="1:14" ht="14.4" x14ac:dyDescent="0.3">
      <c r="A296" s="20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2"/>
    </row>
    <row r="297" spans="1:14" ht="14.4" x14ac:dyDescent="0.3">
      <c r="A297" s="20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2"/>
    </row>
    <row r="298" spans="1:14" ht="14.4" x14ac:dyDescent="0.3">
      <c r="A298" s="20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14.4" x14ac:dyDescent="0.3">
      <c r="A299" s="20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2"/>
    </row>
    <row r="300" spans="1:14" ht="14.4" x14ac:dyDescent="0.3">
      <c r="A300" s="20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14.4" x14ac:dyDescent="0.3">
      <c r="A301" s="20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2"/>
    </row>
    <row r="302" spans="1:14" ht="14.4" x14ac:dyDescent="0.3">
      <c r="A302" s="20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2"/>
    </row>
    <row r="303" spans="1:14" ht="14.4" x14ac:dyDescent="0.3">
      <c r="A303" s="20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2"/>
    </row>
    <row r="304" spans="1:14" ht="14.4" x14ac:dyDescent="0.3">
      <c r="A304" s="20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14.4" x14ac:dyDescent="0.3">
      <c r="A305" s="20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2"/>
    </row>
    <row r="306" spans="1:14" ht="14.4" x14ac:dyDescent="0.3">
      <c r="A306" s="20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14.4" x14ac:dyDescent="0.3">
      <c r="A307" s="20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2"/>
    </row>
    <row r="308" spans="1:14" ht="14.4" x14ac:dyDescent="0.3">
      <c r="A308" s="20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14.4" x14ac:dyDescent="0.3">
      <c r="A309" s="20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2"/>
    </row>
    <row r="310" spans="1:14" ht="14.4" x14ac:dyDescent="0.3">
      <c r="A310" s="20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2"/>
    </row>
    <row r="311" spans="1:14" ht="14.4" x14ac:dyDescent="0.3">
      <c r="A311" s="20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2"/>
    </row>
    <row r="312" spans="1:14" ht="14.4" x14ac:dyDescent="0.3">
      <c r="A312" s="20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14.4" x14ac:dyDescent="0.3">
      <c r="A313" s="20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2"/>
    </row>
    <row r="314" spans="1:14" ht="14.4" x14ac:dyDescent="0.3">
      <c r="A314" s="20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14.4" x14ac:dyDescent="0.3">
      <c r="A315" s="20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2"/>
    </row>
    <row r="316" spans="1:14" ht="14.4" x14ac:dyDescent="0.3">
      <c r="A316" s="20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2"/>
    </row>
    <row r="317" spans="1:14" ht="14.4" x14ac:dyDescent="0.3">
      <c r="A317" s="20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2"/>
    </row>
    <row r="318" spans="1:14" ht="14.4" x14ac:dyDescent="0.3">
      <c r="A318" s="20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14.4" x14ac:dyDescent="0.3">
      <c r="A319" s="20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2"/>
    </row>
    <row r="320" spans="1:14" ht="14.4" x14ac:dyDescent="0.3">
      <c r="A320" s="20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14.4" x14ac:dyDescent="0.3">
      <c r="A321" s="20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2"/>
    </row>
    <row r="322" spans="1:14" ht="14.4" x14ac:dyDescent="0.3">
      <c r="A322" s="20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14.4" x14ac:dyDescent="0.3">
      <c r="A323" s="20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2"/>
    </row>
    <row r="324" spans="1:14" ht="14.4" x14ac:dyDescent="0.3">
      <c r="A324" s="20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14.4" x14ac:dyDescent="0.3">
      <c r="A325" s="20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2"/>
    </row>
    <row r="326" spans="1:14" ht="14.4" x14ac:dyDescent="0.3">
      <c r="A326" s="20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2"/>
    </row>
    <row r="327" spans="1:14" ht="14.4" x14ac:dyDescent="0.3">
      <c r="A327" s="20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2"/>
    </row>
    <row r="328" spans="1:14" ht="14.4" x14ac:dyDescent="0.3">
      <c r="A328" s="20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2"/>
    </row>
    <row r="329" spans="1:14" ht="14.4" x14ac:dyDescent="0.3">
      <c r="A329" s="20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2"/>
    </row>
    <row r="330" spans="1:14" ht="14.4" x14ac:dyDescent="0.3">
      <c r="A330" s="20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14.4" x14ac:dyDescent="0.3">
      <c r="A331" s="20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2"/>
    </row>
    <row r="332" spans="1:14" ht="14.4" x14ac:dyDescent="0.3">
      <c r="A332" s="20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2"/>
    </row>
    <row r="333" spans="1:14" ht="14.4" x14ac:dyDescent="0.3">
      <c r="A333" s="20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2"/>
    </row>
    <row r="334" spans="1:14" ht="14.4" x14ac:dyDescent="0.3">
      <c r="A334" s="20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2"/>
    </row>
    <row r="335" spans="1:14" ht="14.4" x14ac:dyDescent="0.3">
      <c r="A335" s="20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2"/>
    </row>
    <row r="336" spans="1:14" ht="14.4" x14ac:dyDescent="0.3">
      <c r="A336" s="20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2"/>
    </row>
    <row r="337" spans="1:14" ht="14.4" x14ac:dyDescent="0.3">
      <c r="A337" s="20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2"/>
    </row>
    <row r="338" spans="1:14" ht="14.4" x14ac:dyDescent="0.3">
      <c r="A338" s="20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2"/>
    </row>
    <row r="339" spans="1:14" ht="14.4" x14ac:dyDescent="0.3">
      <c r="A339" s="20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2"/>
    </row>
    <row r="340" spans="1:14" ht="14.4" x14ac:dyDescent="0.3">
      <c r="A340" s="20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2"/>
    </row>
    <row r="341" spans="1:14" ht="14.4" x14ac:dyDescent="0.3">
      <c r="A341" s="20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2"/>
    </row>
    <row r="342" spans="1:14" ht="14.4" x14ac:dyDescent="0.3">
      <c r="A342" s="20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2"/>
    </row>
    <row r="343" spans="1:14" ht="14.4" x14ac:dyDescent="0.3">
      <c r="A343" s="20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2"/>
    </row>
    <row r="344" spans="1:14" ht="14.4" x14ac:dyDescent="0.3">
      <c r="A344" s="20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2"/>
    </row>
    <row r="345" spans="1:14" ht="14.4" x14ac:dyDescent="0.3">
      <c r="A345" s="20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2"/>
    </row>
    <row r="346" spans="1:14" ht="14.4" x14ac:dyDescent="0.3">
      <c r="A346" s="20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2"/>
    </row>
    <row r="347" spans="1:14" ht="14.4" x14ac:dyDescent="0.3">
      <c r="A347" s="20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2"/>
    </row>
    <row r="348" spans="1:14" ht="14.4" x14ac:dyDescent="0.3">
      <c r="A348" s="20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2"/>
    </row>
    <row r="349" spans="1:14" ht="14.4" x14ac:dyDescent="0.3">
      <c r="A349" s="20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2"/>
    </row>
    <row r="350" spans="1:14" ht="14.4" x14ac:dyDescent="0.3">
      <c r="A350" s="20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2"/>
    </row>
    <row r="351" spans="1:14" ht="14.4" x14ac:dyDescent="0.3">
      <c r="A351" s="20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2"/>
    </row>
    <row r="352" spans="1:14" ht="14.4" x14ac:dyDescent="0.3">
      <c r="A352" s="20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2"/>
    </row>
    <row r="353" spans="1:14" ht="14.4" x14ac:dyDescent="0.3">
      <c r="A353" s="20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2"/>
    </row>
    <row r="354" spans="1:14" ht="14.4" x14ac:dyDescent="0.3">
      <c r="A354" s="20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2"/>
    </row>
    <row r="355" spans="1:14" ht="14.4" x14ac:dyDescent="0.3">
      <c r="A355" s="20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2"/>
    </row>
    <row r="356" spans="1:14" ht="14.4" x14ac:dyDescent="0.3">
      <c r="A356" s="20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2"/>
    </row>
    <row r="357" spans="1:14" ht="14.4" x14ac:dyDescent="0.3">
      <c r="A357" s="20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2"/>
    </row>
    <row r="358" spans="1:14" ht="14.4" x14ac:dyDescent="0.3">
      <c r="A358" s="20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2"/>
    </row>
    <row r="359" spans="1:14" ht="14.4" x14ac:dyDescent="0.3">
      <c r="A359" s="20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2"/>
    </row>
    <row r="360" spans="1:14" ht="14.4" x14ac:dyDescent="0.3">
      <c r="A360" s="20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2"/>
    </row>
    <row r="361" spans="1:14" ht="14.4" x14ac:dyDescent="0.3">
      <c r="A361" s="20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2"/>
    </row>
    <row r="362" spans="1:14" ht="14.4" x14ac:dyDescent="0.3">
      <c r="A362" s="20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2"/>
    </row>
    <row r="363" spans="1:14" ht="14.4" x14ac:dyDescent="0.3">
      <c r="A363" s="20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2"/>
    </row>
    <row r="364" spans="1:14" ht="14.4" x14ac:dyDescent="0.3">
      <c r="A364" s="20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2"/>
    </row>
    <row r="365" spans="1:14" ht="14.4" x14ac:dyDescent="0.3">
      <c r="A365" s="20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2"/>
    </row>
    <row r="366" spans="1:14" ht="14.4" x14ac:dyDescent="0.3">
      <c r="A366" s="20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2"/>
    </row>
    <row r="367" spans="1:14" ht="14.4" x14ac:dyDescent="0.3">
      <c r="A367" s="20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2"/>
    </row>
    <row r="368" spans="1:14" ht="14.4" x14ac:dyDescent="0.3">
      <c r="A368" s="20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2"/>
    </row>
    <row r="369" spans="1:14" ht="14.4" x14ac:dyDescent="0.3">
      <c r="A369" s="20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2"/>
    </row>
    <row r="370" spans="1:14" ht="14.4" x14ac:dyDescent="0.3">
      <c r="A370" s="20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2"/>
    </row>
    <row r="371" spans="1:14" ht="14.4" x14ac:dyDescent="0.3">
      <c r="A371" s="20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2"/>
    </row>
    <row r="372" spans="1:14" ht="14.4" x14ac:dyDescent="0.3">
      <c r="A372" s="20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2"/>
    </row>
    <row r="373" spans="1:14" ht="14.4" x14ac:dyDescent="0.3">
      <c r="A373" s="20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2"/>
    </row>
    <row r="374" spans="1:14" ht="14.4" x14ac:dyDescent="0.3">
      <c r="A374" s="20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2"/>
    </row>
    <row r="375" spans="1:14" ht="14.4" x14ac:dyDescent="0.3">
      <c r="A375" s="20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2"/>
    </row>
    <row r="376" spans="1:14" ht="14.4" x14ac:dyDescent="0.3">
      <c r="A376" s="20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2"/>
    </row>
    <row r="377" spans="1:14" ht="14.4" x14ac:dyDescent="0.3">
      <c r="A377" s="20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2"/>
    </row>
    <row r="378" spans="1:14" ht="14.4" x14ac:dyDescent="0.3">
      <c r="A378" s="20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2"/>
    </row>
    <row r="379" spans="1:14" ht="14.4" x14ac:dyDescent="0.3">
      <c r="A379" s="20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2"/>
    </row>
    <row r="380" spans="1:14" ht="14.4" x14ac:dyDescent="0.3">
      <c r="A380" s="20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2"/>
    </row>
    <row r="381" spans="1:14" ht="14.4" x14ac:dyDescent="0.3">
      <c r="A381" s="20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2"/>
    </row>
    <row r="382" spans="1:14" ht="14.4" x14ac:dyDescent="0.3">
      <c r="A382" s="20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2"/>
    </row>
    <row r="383" spans="1:14" ht="14.4" x14ac:dyDescent="0.3">
      <c r="A383" s="20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2"/>
    </row>
    <row r="384" spans="1:14" ht="14.4" x14ac:dyDescent="0.3">
      <c r="A384" s="20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2"/>
    </row>
    <row r="385" spans="1:14" ht="14.4" x14ac:dyDescent="0.3">
      <c r="A385" s="20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2"/>
    </row>
    <row r="386" spans="1:14" ht="14.4" x14ac:dyDescent="0.3">
      <c r="A386" s="20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2"/>
    </row>
    <row r="387" spans="1:14" ht="14.4" x14ac:dyDescent="0.3">
      <c r="A387" s="20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2"/>
    </row>
    <row r="388" spans="1:14" ht="14.4" x14ac:dyDescent="0.3">
      <c r="A388" s="20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2"/>
    </row>
    <row r="389" spans="1:14" ht="14.4" x14ac:dyDescent="0.3">
      <c r="A389" s="20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2"/>
    </row>
    <row r="390" spans="1:14" ht="14.4" x14ac:dyDescent="0.3">
      <c r="A390" s="20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14.4" x14ac:dyDescent="0.3">
      <c r="A391" s="20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2"/>
    </row>
    <row r="392" spans="1:14" ht="14.4" x14ac:dyDescent="0.3">
      <c r="A392" s="20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2"/>
    </row>
    <row r="393" spans="1:14" ht="14.4" x14ac:dyDescent="0.3">
      <c r="A393" s="20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2"/>
    </row>
    <row r="394" spans="1:14" ht="14.4" x14ac:dyDescent="0.3">
      <c r="A394" s="20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14.4" x14ac:dyDescent="0.3">
      <c r="A395" s="20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2"/>
    </row>
    <row r="396" spans="1:14" ht="14.4" x14ac:dyDescent="0.3">
      <c r="A396" s="20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14.4" x14ac:dyDescent="0.3">
      <c r="A397" s="20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2"/>
    </row>
    <row r="398" spans="1:14" ht="14.4" x14ac:dyDescent="0.3">
      <c r="A398" s="20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14.4" x14ac:dyDescent="0.3">
      <c r="A399" s="20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2"/>
    </row>
    <row r="400" spans="1:14" ht="14.4" x14ac:dyDescent="0.3">
      <c r="A400" s="20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14.4" x14ac:dyDescent="0.3">
      <c r="A401" s="20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2"/>
    </row>
    <row r="402" spans="1:14" ht="14.4" x14ac:dyDescent="0.3">
      <c r="A402" s="20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14.4" x14ac:dyDescent="0.3">
      <c r="A403" s="20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2"/>
    </row>
    <row r="404" spans="1:14" ht="14.4" x14ac:dyDescent="0.3">
      <c r="A404" s="20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14.4" x14ac:dyDescent="0.3">
      <c r="A405" s="20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2"/>
    </row>
    <row r="406" spans="1:14" ht="14.4" x14ac:dyDescent="0.3">
      <c r="A406" s="20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14.4" x14ac:dyDescent="0.3">
      <c r="A407" s="20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2"/>
    </row>
    <row r="408" spans="1:14" ht="14.4" x14ac:dyDescent="0.3">
      <c r="A408" s="20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14.4" x14ac:dyDescent="0.3">
      <c r="A409" s="20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2"/>
    </row>
    <row r="410" spans="1:14" ht="14.4" x14ac:dyDescent="0.3">
      <c r="A410" s="20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14.4" x14ac:dyDescent="0.3">
      <c r="A411" s="20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2"/>
    </row>
    <row r="412" spans="1:14" ht="14.4" x14ac:dyDescent="0.3">
      <c r="A412" s="20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14.4" x14ac:dyDescent="0.3">
      <c r="A413" s="20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2"/>
    </row>
    <row r="414" spans="1:14" ht="14.4" x14ac:dyDescent="0.3">
      <c r="A414" s="20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14.4" x14ac:dyDescent="0.3">
      <c r="A415" s="20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2"/>
    </row>
    <row r="416" spans="1:14" ht="14.4" x14ac:dyDescent="0.3">
      <c r="A416" s="20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14.4" x14ac:dyDescent="0.3">
      <c r="A417" s="20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2"/>
    </row>
    <row r="418" spans="1:14" ht="14.4" x14ac:dyDescent="0.3">
      <c r="A418" s="20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14.4" x14ac:dyDescent="0.3">
      <c r="A419" s="20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2"/>
    </row>
    <row r="420" spans="1:14" ht="14.4" x14ac:dyDescent="0.3">
      <c r="A420" s="20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14.4" x14ac:dyDescent="0.3">
      <c r="A421" s="20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2"/>
    </row>
    <row r="422" spans="1:14" ht="14.4" x14ac:dyDescent="0.3">
      <c r="A422" s="20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14.4" x14ac:dyDescent="0.3">
      <c r="A423" s="20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2"/>
    </row>
    <row r="424" spans="1:14" ht="14.4" x14ac:dyDescent="0.3">
      <c r="A424" s="20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14.4" x14ac:dyDescent="0.3">
      <c r="A425" s="20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2"/>
    </row>
    <row r="426" spans="1:14" ht="14.4" x14ac:dyDescent="0.3">
      <c r="A426" s="20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14.4" x14ac:dyDescent="0.3">
      <c r="A427" s="20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2"/>
    </row>
    <row r="428" spans="1:14" ht="14.4" x14ac:dyDescent="0.3">
      <c r="A428" s="20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14.4" x14ac:dyDescent="0.3">
      <c r="A429" s="20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2"/>
    </row>
    <row r="430" spans="1:14" ht="14.4" x14ac:dyDescent="0.3">
      <c r="A430" s="20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14.4" x14ac:dyDescent="0.3">
      <c r="A431" s="20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2"/>
    </row>
    <row r="432" spans="1:14" ht="14.4" x14ac:dyDescent="0.3">
      <c r="A432" s="20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14.4" x14ac:dyDescent="0.3">
      <c r="A433" s="20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2"/>
    </row>
    <row r="434" spans="1:14" ht="14.4" x14ac:dyDescent="0.3">
      <c r="A434" s="20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14.4" x14ac:dyDescent="0.3">
      <c r="A435" s="20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2"/>
    </row>
    <row r="436" spans="1:14" ht="14.4" x14ac:dyDescent="0.3">
      <c r="A436" s="20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2"/>
    </row>
    <row r="437" spans="1:14" ht="14.4" x14ac:dyDescent="0.3">
      <c r="A437" s="20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2"/>
    </row>
    <row r="438" spans="1:14" ht="14.4" x14ac:dyDescent="0.3">
      <c r="A438" s="20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14.4" x14ac:dyDescent="0.3">
      <c r="A439" s="20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2"/>
    </row>
    <row r="440" spans="1:14" ht="14.4" x14ac:dyDescent="0.3">
      <c r="A440" s="20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14.4" x14ac:dyDescent="0.3">
      <c r="A441" s="20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2"/>
    </row>
    <row r="442" spans="1:14" ht="14.4" x14ac:dyDescent="0.3">
      <c r="A442" s="20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2"/>
    </row>
    <row r="443" spans="1:14" ht="14.4" x14ac:dyDescent="0.3">
      <c r="A443" s="20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2"/>
    </row>
    <row r="444" spans="1:14" ht="14.4" x14ac:dyDescent="0.3">
      <c r="A444" s="20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2"/>
    </row>
    <row r="445" spans="1:14" ht="14.4" x14ac:dyDescent="0.3">
      <c r="A445" s="20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2"/>
    </row>
    <row r="446" spans="1:14" ht="14.4" x14ac:dyDescent="0.3">
      <c r="A446" s="20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2"/>
    </row>
    <row r="447" spans="1:14" ht="14.4" x14ac:dyDescent="0.3">
      <c r="A447" s="20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2"/>
    </row>
    <row r="448" spans="1:14" ht="14.4" x14ac:dyDescent="0.3">
      <c r="A448" s="20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2"/>
    </row>
    <row r="449" spans="1:14" ht="14.4" x14ac:dyDescent="0.3">
      <c r="A449" s="20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2"/>
    </row>
    <row r="450" spans="1:14" ht="14.4" x14ac:dyDescent="0.3">
      <c r="A450" s="20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2"/>
    </row>
    <row r="451" spans="1:14" ht="14.4" x14ac:dyDescent="0.3">
      <c r="A451" s="20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2"/>
    </row>
    <row r="452" spans="1:14" ht="14.4" x14ac:dyDescent="0.3">
      <c r="A452" s="20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2"/>
    </row>
    <row r="453" spans="1:14" ht="14.4" x14ac:dyDescent="0.3">
      <c r="A453" s="20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2"/>
    </row>
    <row r="454" spans="1:14" ht="14.4" x14ac:dyDescent="0.3">
      <c r="A454" s="20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2"/>
    </row>
    <row r="455" spans="1:14" ht="14.4" x14ac:dyDescent="0.3">
      <c r="A455" s="20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2"/>
    </row>
    <row r="456" spans="1:14" ht="14.4" x14ac:dyDescent="0.3">
      <c r="A456" s="20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2"/>
    </row>
    <row r="457" spans="1:14" ht="14.4" x14ac:dyDescent="0.3">
      <c r="A457" s="20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2"/>
    </row>
    <row r="458" spans="1:14" ht="14.4" x14ac:dyDescent="0.3">
      <c r="A458" s="20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2"/>
    </row>
    <row r="459" spans="1:14" ht="14.4" x14ac:dyDescent="0.3">
      <c r="A459" s="20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2"/>
    </row>
    <row r="460" spans="1:14" ht="14.4" x14ac:dyDescent="0.3">
      <c r="A460" s="20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2"/>
    </row>
    <row r="461" spans="1:14" ht="14.4" x14ac:dyDescent="0.3">
      <c r="A461" s="20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2"/>
    </row>
    <row r="462" spans="1:14" ht="14.4" x14ac:dyDescent="0.3">
      <c r="A462" s="20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2"/>
    </row>
    <row r="463" spans="1:14" ht="14.4" x14ac:dyDescent="0.3">
      <c r="A463" s="20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2"/>
    </row>
    <row r="464" spans="1:14" ht="14.4" x14ac:dyDescent="0.3">
      <c r="A464" s="20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2"/>
    </row>
    <row r="465" spans="1:14" ht="14.4" x14ac:dyDescent="0.3">
      <c r="A465" s="20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2"/>
    </row>
    <row r="466" spans="1:14" ht="14.4" x14ac:dyDescent="0.3">
      <c r="A466" s="20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2"/>
    </row>
    <row r="467" spans="1:14" ht="14.4" x14ac:dyDescent="0.3">
      <c r="A467" s="20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2"/>
    </row>
    <row r="468" spans="1:14" ht="14.4" x14ac:dyDescent="0.3">
      <c r="A468" s="20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2"/>
    </row>
    <row r="469" spans="1:14" ht="14.4" x14ac:dyDescent="0.3">
      <c r="A469" s="20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2"/>
    </row>
    <row r="470" spans="1:14" ht="14.4" x14ac:dyDescent="0.3">
      <c r="A470" s="20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2"/>
    </row>
    <row r="471" spans="1:14" ht="14.4" x14ac:dyDescent="0.3">
      <c r="A471" s="20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2"/>
    </row>
    <row r="472" spans="1:14" ht="14.4" x14ac:dyDescent="0.3">
      <c r="A472" s="20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2"/>
    </row>
    <row r="473" spans="1:14" ht="14.4" x14ac:dyDescent="0.3">
      <c r="A473" s="20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2"/>
    </row>
    <row r="474" spans="1:14" ht="14.4" x14ac:dyDescent="0.3">
      <c r="A474" s="20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2"/>
    </row>
    <row r="475" spans="1:14" ht="14.4" x14ac:dyDescent="0.3">
      <c r="A475" s="20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2"/>
    </row>
    <row r="476" spans="1:14" ht="14.4" x14ac:dyDescent="0.3">
      <c r="A476" s="20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2"/>
    </row>
    <row r="477" spans="1:14" ht="14.4" x14ac:dyDescent="0.3">
      <c r="A477" s="20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2"/>
    </row>
    <row r="478" spans="1:14" ht="14.4" x14ac:dyDescent="0.3">
      <c r="A478" s="20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2"/>
    </row>
    <row r="479" spans="1:14" ht="14.4" x14ac:dyDescent="0.3">
      <c r="A479" s="20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2"/>
    </row>
    <row r="480" spans="1:14" ht="14.4" x14ac:dyDescent="0.3">
      <c r="A480" s="20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2"/>
    </row>
    <row r="481" spans="1:14" ht="14.4" x14ac:dyDescent="0.3">
      <c r="A481" s="20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2"/>
    </row>
    <row r="482" spans="1:14" ht="14.4" x14ac:dyDescent="0.3">
      <c r="A482" s="20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2"/>
    </row>
    <row r="483" spans="1:14" ht="14.4" x14ac:dyDescent="0.3">
      <c r="A483" s="20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2"/>
    </row>
    <row r="484" spans="1:14" ht="14.4" x14ac:dyDescent="0.3">
      <c r="A484" s="20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2"/>
    </row>
    <row r="485" spans="1:14" ht="14.4" x14ac:dyDescent="0.3">
      <c r="A485" s="20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2"/>
    </row>
    <row r="486" spans="1:14" ht="14.4" x14ac:dyDescent="0.3">
      <c r="A486" s="20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2"/>
    </row>
    <row r="487" spans="1:14" ht="14.4" x14ac:dyDescent="0.3">
      <c r="A487" s="20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2"/>
    </row>
    <row r="488" spans="1:14" ht="14.4" x14ac:dyDescent="0.3">
      <c r="A488" s="20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2"/>
    </row>
    <row r="489" spans="1:14" ht="14.4" x14ac:dyDescent="0.3">
      <c r="A489" s="20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2"/>
    </row>
    <row r="490" spans="1:14" ht="14.4" x14ac:dyDescent="0.3">
      <c r="A490" s="20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2"/>
    </row>
    <row r="491" spans="1:14" ht="14.4" x14ac:dyDescent="0.3">
      <c r="A491" s="20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2"/>
    </row>
    <row r="492" spans="1:14" ht="14.4" x14ac:dyDescent="0.3">
      <c r="A492" s="20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2"/>
    </row>
    <row r="493" spans="1:14" ht="14.4" x14ac:dyDescent="0.3">
      <c r="A493" s="20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2"/>
    </row>
    <row r="494" spans="1:14" ht="14.4" x14ac:dyDescent="0.3">
      <c r="A494" s="20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2"/>
    </row>
    <row r="495" spans="1:14" ht="14.4" x14ac:dyDescent="0.3">
      <c r="A495" s="20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2"/>
    </row>
    <row r="496" spans="1:14" ht="14.4" x14ac:dyDescent="0.3">
      <c r="A496" s="20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2"/>
    </row>
    <row r="497" spans="1:14" ht="14.4" x14ac:dyDescent="0.3">
      <c r="A497" s="20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2"/>
    </row>
    <row r="498" spans="1:14" ht="14.4" x14ac:dyDescent="0.3">
      <c r="A498" s="20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14.4" x14ac:dyDescent="0.3">
      <c r="A499" s="20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2"/>
    </row>
    <row r="500" spans="1:14" ht="14.4" x14ac:dyDescent="0.3">
      <c r="A500" s="20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14.4" x14ac:dyDescent="0.3">
      <c r="A501" s="20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2"/>
    </row>
    <row r="502" spans="1:14" ht="14.4" x14ac:dyDescent="0.3">
      <c r="A502" s="20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14.4" x14ac:dyDescent="0.3">
      <c r="A503" s="20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2"/>
    </row>
    <row r="504" spans="1:14" ht="14.4" x14ac:dyDescent="0.3">
      <c r="A504" s="20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14.4" x14ac:dyDescent="0.3">
      <c r="A505" s="20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2"/>
    </row>
    <row r="506" spans="1:14" ht="14.4" x14ac:dyDescent="0.3">
      <c r="A506" s="20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14.4" x14ac:dyDescent="0.3">
      <c r="A507" s="20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2"/>
    </row>
    <row r="508" spans="1:14" ht="14.4" x14ac:dyDescent="0.3">
      <c r="A508" s="20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14.4" x14ac:dyDescent="0.3">
      <c r="A509" s="20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2"/>
    </row>
    <row r="510" spans="1:14" ht="14.4" x14ac:dyDescent="0.3">
      <c r="A510" s="20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14.4" x14ac:dyDescent="0.3">
      <c r="A511" s="20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2"/>
    </row>
    <row r="512" spans="1:14" ht="14.4" x14ac:dyDescent="0.3">
      <c r="A512" s="20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14.4" x14ac:dyDescent="0.3">
      <c r="A513" s="20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2"/>
    </row>
    <row r="514" spans="1:14" ht="14.4" x14ac:dyDescent="0.3">
      <c r="A514" s="20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14.4" x14ac:dyDescent="0.3">
      <c r="A515" s="20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2"/>
    </row>
    <row r="516" spans="1:14" ht="14.4" x14ac:dyDescent="0.3">
      <c r="A516" s="20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14.4" x14ac:dyDescent="0.3">
      <c r="A517" s="20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2"/>
    </row>
    <row r="518" spans="1:14" ht="14.4" x14ac:dyDescent="0.3">
      <c r="A518" s="20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14.4" x14ac:dyDescent="0.3">
      <c r="A519" s="20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2"/>
    </row>
    <row r="520" spans="1:14" ht="14.4" x14ac:dyDescent="0.3">
      <c r="A520" s="20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14.4" x14ac:dyDescent="0.3">
      <c r="A521" s="20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2"/>
    </row>
    <row r="522" spans="1:14" ht="14.4" x14ac:dyDescent="0.3">
      <c r="A522" s="20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14.4" x14ac:dyDescent="0.3">
      <c r="A523" s="20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2"/>
    </row>
    <row r="524" spans="1:14" ht="14.4" x14ac:dyDescent="0.3">
      <c r="A524" s="20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14.4" x14ac:dyDescent="0.3">
      <c r="A525" s="20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2"/>
    </row>
    <row r="526" spans="1:14" ht="14.4" x14ac:dyDescent="0.3">
      <c r="A526" s="20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14.4" x14ac:dyDescent="0.3">
      <c r="A527" s="20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2"/>
    </row>
    <row r="528" spans="1:14" ht="14.4" x14ac:dyDescent="0.3">
      <c r="A528" s="20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14.4" x14ac:dyDescent="0.3">
      <c r="A529" s="20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2"/>
    </row>
    <row r="530" spans="1:14" ht="14.4" x14ac:dyDescent="0.3">
      <c r="A530" s="20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14.4" x14ac:dyDescent="0.3">
      <c r="A531" s="20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2"/>
    </row>
    <row r="532" spans="1:14" ht="14.4" x14ac:dyDescent="0.3">
      <c r="A532" s="20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14.4" x14ac:dyDescent="0.3">
      <c r="A533" s="20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2"/>
    </row>
    <row r="534" spans="1:14" ht="14.4" x14ac:dyDescent="0.3">
      <c r="A534" s="20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14.4" x14ac:dyDescent="0.3">
      <c r="A535" s="20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2"/>
    </row>
    <row r="536" spans="1:14" ht="14.4" x14ac:dyDescent="0.3">
      <c r="A536" s="20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14.4" x14ac:dyDescent="0.3">
      <c r="A537" s="20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2"/>
    </row>
    <row r="538" spans="1:14" ht="14.4" x14ac:dyDescent="0.3">
      <c r="A538" s="20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14.4" x14ac:dyDescent="0.3">
      <c r="A539" s="20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2"/>
    </row>
    <row r="540" spans="1:14" ht="14.4" x14ac:dyDescent="0.3">
      <c r="A540" s="20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14.4" x14ac:dyDescent="0.3">
      <c r="A541" s="20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2"/>
    </row>
    <row r="542" spans="1:14" ht="14.4" x14ac:dyDescent="0.3">
      <c r="A542" s="20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14.4" x14ac:dyDescent="0.3">
      <c r="A543" s="20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2"/>
    </row>
    <row r="544" spans="1:14" ht="14.4" x14ac:dyDescent="0.3">
      <c r="A544" s="20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14.4" x14ac:dyDescent="0.3">
      <c r="A545" s="20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2"/>
    </row>
    <row r="546" spans="1:14" ht="14.4" x14ac:dyDescent="0.3">
      <c r="A546" s="20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14.4" x14ac:dyDescent="0.3">
      <c r="A547" s="20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2"/>
    </row>
    <row r="548" spans="1:14" ht="14.4" x14ac:dyDescent="0.3">
      <c r="A548" s="20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14.4" x14ac:dyDescent="0.3">
      <c r="A549" s="20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2"/>
    </row>
    <row r="550" spans="1:14" ht="14.4" x14ac:dyDescent="0.3">
      <c r="A550" s="20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14.4" x14ac:dyDescent="0.3">
      <c r="A551" s="20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2"/>
    </row>
    <row r="552" spans="1:14" ht="14.4" x14ac:dyDescent="0.3">
      <c r="A552" s="20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2"/>
    </row>
    <row r="553" spans="1:14" ht="14.4" x14ac:dyDescent="0.3">
      <c r="A553" s="20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2"/>
    </row>
    <row r="554" spans="1:14" ht="14.4" x14ac:dyDescent="0.3">
      <c r="A554" s="20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2"/>
    </row>
    <row r="555" spans="1:14" ht="14.4" x14ac:dyDescent="0.3">
      <c r="A555" s="20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2"/>
    </row>
    <row r="556" spans="1:14" ht="14.4" x14ac:dyDescent="0.3">
      <c r="A556" s="20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2"/>
    </row>
    <row r="557" spans="1:14" ht="14.4" x14ac:dyDescent="0.3">
      <c r="A557" s="20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2"/>
    </row>
    <row r="558" spans="1:14" ht="14.4" x14ac:dyDescent="0.3">
      <c r="A558" s="20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2"/>
    </row>
    <row r="559" spans="1:14" ht="14.4" x14ac:dyDescent="0.3">
      <c r="A559" s="20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2"/>
    </row>
    <row r="560" spans="1:14" ht="14.4" x14ac:dyDescent="0.3">
      <c r="A560" s="20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2"/>
    </row>
    <row r="561" spans="1:14" ht="14.4" x14ac:dyDescent="0.3">
      <c r="A561" s="20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2"/>
    </row>
    <row r="562" spans="1:14" ht="14.4" x14ac:dyDescent="0.3">
      <c r="A562" s="20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2"/>
    </row>
    <row r="563" spans="1:14" ht="14.4" x14ac:dyDescent="0.3">
      <c r="A563" s="20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2"/>
    </row>
    <row r="564" spans="1:14" ht="14.4" x14ac:dyDescent="0.3">
      <c r="A564" s="20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2"/>
    </row>
    <row r="565" spans="1:14" ht="14.4" x14ac:dyDescent="0.3">
      <c r="A565" s="20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2"/>
    </row>
    <row r="566" spans="1:14" ht="14.4" x14ac:dyDescent="0.3">
      <c r="A566" s="20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2"/>
    </row>
    <row r="567" spans="1:14" ht="14.4" x14ac:dyDescent="0.3">
      <c r="A567" s="20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2"/>
    </row>
    <row r="568" spans="1:14" ht="14.4" x14ac:dyDescent="0.3">
      <c r="A568" s="20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2"/>
    </row>
    <row r="569" spans="1:14" ht="14.4" x14ac:dyDescent="0.3">
      <c r="A569" s="20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2"/>
    </row>
    <row r="570" spans="1:14" ht="14.4" x14ac:dyDescent="0.3">
      <c r="A570" s="20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2"/>
    </row>
    <row r="571" spans="1:14" ht="14.4" x14ac:dyDescent="0.3">
      <c r="A571" s="20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2"/>
    </row>
    <row r="572" spans="1:14" ht="14.4" x14ac:dyDescent="0.3">
      <c r="A572" s="20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2"/>
    </row>
    <row r="573" spans="1:14" ht="14.4" x14ac:dyDescent="0.3">
      <c r="A573" s="20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2"/>
    </row>
    <row r="574" spans="1:14" ht="14.4" x14ac:dyDescent="0.3">
      <c r="A574" s="20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2"/>
    </row>
    <row r="575" spans="1:14" ht="14.4" x14ac:dyDescent="0.3">
      <c r="A575" s="20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2"/>
    </row>
    <row r="576" spans="1:14" ht="14.4" x14ac:dyDescent="0.3">
      <c r="A576" s="20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2"/>
    </row>
    <row r="577" spans="1:14" ht="14.4" x14ac:dyDescent="0.3">
      <c r="A577" s="20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2"/>
    </row>
    <row r="578" spans="1:14" ht="14.4" x14ac:dyDescent="0.3">
      <c r="A578" s="20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2"/>
    </row>
    <row r="579" spans="1:14" ht="14.4" x14ac:dyDescent="0.3">
      <c r="A579" s="20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2"/>
    </row>
    <row r="580" spans="1:14" ht="14.4" x14ac:dyDescent="0.3">
      <c r="A580" s="20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2"/>
    </row>
    <row r="581" spans="1:14" ht="14.4" x14ac:dyDescent="0.3">
      <c r="A581" s="20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2"/>
    </row>
    <row r="582" spans="1:14" ht="14.4" x14ac:dyDescent="0.3">
      <c r="A582" s="20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2"/>
    </row>
    <row r="583" spans="1:14" ht="14.4" x14ac:dyDescent="0.3">
      <c r="A583" s="20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2"/>
    </row>
    <row r="584" spans="1:14" ht="14.4" x14ac:dyDescent="0.3">
      <c r="A584" s="20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2"/>
    </row>
    <row r="585" spans="1:14" ht="14.4" x14ac:dyDescent="0.3">
      <c r="A585" s="20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2"/>
    </row>
    <row r="586" spans="1:14" ht="14.4" x14ac:dyDescent="0.3">
      <c r="A586" s="20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2"/>
    </row>
    <row r="587" spans="1:14" ht="14.4" x14ac:dyDescent="0.3">
      <c r="A587" s="20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2"/>
    </row>
    <row r="588" spans="1:14" ht="14.4" x14ac:dyDescent="0.3">
      <c r="A588" s="20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2"/>
    </row>
    <row r="589" spans="1:14" ht="14.4" x14ac:dyDescent="0.3">
      <c r="A589" s="20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2"/>
    </row>
    <row r="590" spans="1:14" ht="14.4" x14ac:dyDescent="0.3">
      <c r="A590" s="20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2"/>
    </row>
    <row r="591" spans="1:14" ht="14.4" x14ac:dyDescent="0.3">
      <c r="A591" s="20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2"/>
    </row>
    <row r="592" spans="1:14" ht="14.4" x14ac:dyDescent="0.3">
      <c r="A592" s="20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2"/>
    </row>
    <row r="593" spans="1:14" ht="14.4" x14ac:dyDescent="0.3">
      <c r="A593" s="20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2"/>
    </row>
    <row r="594" spans="1:14" ht="14.4" x14ac:dyDescent="0.3">
      <c r="A594" s="20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2"/>
    </row>
    <row r="595" spans="1:14" ht="14.4" x14ac:dyDescent="0.3">
      <c r="A595" s="20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2"/>
    </row>
    <row r="596" spans="1:14" ht="14.4" x14ac:dyDescent="0.3">
      <c r="A596" s="20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2"/>
    </row>
    <row r="597" spans="1:14" ht="14.4" x14ac:dyDescent="0.3">
      <c r="A597" s="20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2"/>
    </row>
    <row r="598" spans="1:14" ht="14.4" x14ac:dyDescent="0.3">
      <c r="A598" s="20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2"/>
    </row>
    <row r="599" spans="1:14" ht="14.4" x14ac:dyDescent="0.3">
      <c r="A599" s="20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2"/>
    </row>
    <row r="600" spans="1:14" ht="14.4" x14ac:dyDescent="0.3">
      <c r="A600" s="20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2"/>
    </row>
    <row r="601" spans="1:14" ht="14.4" x14ac:dyDescent="0.3">
      <c r="A601" s="20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2"/>
    </row>
    <row r="602" spans="1:14" ht="14.4" x14ac:dyDescent="0.3">
      <c r="A602" s="20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2"/>
    </row>
    <row r="603" spans="1:14" ht="14.4" x14ac:dyDescent="0.3">
      <c r="A603" s="20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2"/>
    </row>
    <row r="604" spans="1:14" ht="14.4" x14ac:dyDescent="0.3">
      <c r="A604" s="20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2"/>
    </row>
    <row r="605" spans="1:14" ht="14.4" x14ac:dyDescent="0.3">
      <c r="A605" s="20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2"/>
    </row>
    <row r="606" spans="1:14" ht="14.4" x14ac:dyDescent="0.3">
      <c r="A606" s="20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2"/>
    </row>
    <row r="607" spans="1:14" ht="14.4" x14ac:dyDescent="0.3">
      <c r="A607" s="20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2"/>
    </row>
    <row r="608" spans="1:14" ht="14.4" x14ac:dyDescent="0.3">
      <c r="A608" s="20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14.4" x14ac:dyDescent="0.3">
      <c r="A609" s="20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2"/>
    </row>
    <row r="610" spans="1:14" ht="14.4" x14ac:dyDescent="0.3">
      <c r="A610" s="20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14.4" x14ac:dyDescent="0.3">
      <c r="A611" s="20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2"/>
    </row>
    <row r="612" spans="1:14" ht="14.4" x14ac:dyDescent="0.3">
      <c r="A612" s="20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2"/>
    </row>
    <row r="613" spans="1:14" ht="14.4" x14ac:dyDescent="0.3">
      <c r="A613" s="20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2"/>
    </row>
    <row r="614" spans="1:14" ht="14.4" x14ac:dyDescent="0.3">
      <c r="A614" s="20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14.4" x14ac:dyDescent="0.3">
      <c r="A615" s="20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2"/>
    </row>
    <row r="616" spans="1:14" ht="14.4" x14ac:dyDescent="0.3">
      <c r="A616" s="20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14.4" x14ac:dyDescent="0.3">
      <c r="A617" s="20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2"/>
    </row>
    <row r="618" spans="1:14" ht="14.4" x14ac:dyDescent="0.3">
      <c r="A618" s="20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14.4" x14ac:dyDescent="0.3">
      <c r="A619" s="20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2"/>
    </row>
    <row r="620" spans="1:14" ht="14.4" x14ac:dyDescent="0.3">
      <c r="A620" s="20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14.4" x14ac:dyDescent="0.3">
      <c r="A621" s="20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2"/>
    </row>
    <row r="622" spans="1:14" ht="14.4" x14ac:dyDescent="0.3">
      <c r="A622" s="20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14.4" x14ac:dyDescent="0.3">
      <c r="A623" s="20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2"/>
    </row>
    <row r="624" spans="1:14" ht="14.4" x14ac:dyDescent="0.3">
      <c r="A624" s="20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14.4" x14ac:dyDescent="0.3">
      <c r="A625" s="20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2"/>
    </row>
    <row r="626" spans="1:14" ht="14.4" x14ac:dyDescent="0.3">
      <c r="A626" s="20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2"/>
    </row>
    <row r="627" spans="1:14" ht="14.4" x14ac:dyDescent="0.3">
      <c r="A627" s="20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2"/>
    </row>
    <row r="628" spans="1:14" ht="14.4" x14ac:dyDescent="0.3">
      <c r="A628" s="20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14.4" x14ac:dyDescent="0.3">
      <c r="A629" s="20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2"/>
    </row>
    <row r="630" spans="1:14" ht="14.4" x14ac:dyDescent="0.3">
      <c r="A630" s="20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14.4" x14ac:dyDescent="0.3">
      <c r="A631" s="20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2"/>
    </row>
    <row r="632" spans="1:14" ht="14.4" x14ac:dyDescent="0.3">
      <c r="A632" s="20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14.4" x14ac:dyDescent="0.3">
      <c r="A633" s="20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2"/>
    </row>
    <row r="634" spans="1:14" ht="14.4" x14ac:dyDescent="0.3">
      <c r="A634" s="20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14.4" x14ac:dyDescent="0.3">
      <c r="A635" s="20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2"/>
    </row>
    <row r="636" spans="1:14" ht="14.4" x14ac:dyDescent="0.3">
      <c r="A636" s="20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14.4" x14ac:dyDescent="0.3">
      <c r="A637" s="20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2"/>
    </row>
    <row r="638" spans="1:14" ht="14.4" x14ac:dyDescent="0.3">
      <c r="A638" s="20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14.4" x14ac:dyDescent="0.3">
      <c r="A639" s="20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2"/>
    </row>
    <row r="640" spans="1:14" ht="14.4" x14ac:dyDescent="0.3">
      <c r="A640" s="20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2"/>
    </row>
    <row r="641" spans="1:14" ht="14.4" x14ac:dyDescent="0.3">
      <c r="A641" s="20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2"/>
    </row>
    <row r="642" spans="1:14" ht="14.4" x14ac:dyDescent="0.3">
      <c r="A642" s="20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14.4" x14ac:dyDescent="0.3">
      <c r="A643" s="20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2"/>
    </row>
    <row r="644" spans="1:14" ht="14.4" x14ac:dyDescent="0.3">
      <c r="A644" s="20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14.4" x14ac:dyDescent="0.3">
      <c r="A645" s="20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2"/>
    </row>
    <row r="646" spans="1:14" ht="14.4" x14ac:dyDescent="0.3">
      <c r="A646" s="20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2"/>
    </row>
    <row r="647" spans="1:14" ht="14.4" x14ac:dyDescent="0.3">
      <c r="A647" s="20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2"/>
    </row>
    <row r="648" spans="1:14" ht="14.4" x14ac:dyDescent="0.3">
      <c r="A648" s="20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14.4" x14ac:dyDescent="0.3">
      <c r="A649" s="20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2"/>
    </row>
    <row r="650" spans="1:14" ht="14.4" x14ac:dyDescent="0.3">
      <c r="A650" s="20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14.4" x14ac:dyDescent="0.3">
      <c r="A651" s="20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2"/>
    </row>
    <row r="652" spans="1:14" ht="14.4" x14ac:dyDescent="0.3">
      <c r="A652" s="20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14.4" x14ac:dyDescent="0.3">
      <c r="A653" s="20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2"/>
    </row>
    <row r="654" spans="1:14" ht="14.4" x14ac:dyDescent="0.3">
      <c r="A654" s="20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14.4" x14ac:dyDescent="0.3">
      <c r="A655" s="20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2"/>
    </row>
    <row r="656" spans="1:14" ht="14.4" x14ac:dyDescent="0.3">
      <c r="A656" s="20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2"/>
    </row>
    <row r="657" spans="1:14" ht="14.4" x14ac:dyDescent="0.3">
      <c r="A657" s="20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2"/>
    </row>
    <row r="658" spans="1:14" ht="14.4" x14ac:dyDescent="0.3">
      <c r="A658" s="20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2"/>
    </row>
    <row r="659" spans="1:14" ht="14.4" x14ac:dyDescent="0.3">
      <c r="A659" s="20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2"/>
    </row>
    <row r="660" spans="1:14" ht="14.4" x14ac:dyDescent="0.3">
      <c r="A660" s="20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2"/>
    </row>
    <row r="661" spans="1:14" ht="14.4" x14ac:dyDescent="0.3">
      <c r="A661" s="20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2"/>
    </row>
    <row r="662" spans="1:14" ht="14.4" x14ac:dyDescent="0.3">
      <c r="A662" s="20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2"/>
    </row>
    <row r="663" spans="1:14" ht="14.4" x14ac:dyDescent="0.3">
      <c r="A663" s="20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2"/>
    </row>
    <row r="664" spans="1:14" ht="14.4" x14ac:dyDescent="0.3">
      <c r="A664" s="20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2"/>
    </row>
    <row r="665" spans="1:14" ht="14.4" x14ac:dyDescent="0.3">
      <c r="A665" s="20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2"/>
    </row>
    <row r="666" spans="1:14" ht="14.4" x14ac:dyDescent="0.3">
      <c r="A666" s="20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2"/>
    </row>
    <row r="667" spans="1:14" ht="14.4" x14ac:dyDescent="0.3">
      <c r="A667" s="20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2"/>
    </row>
    <row r="668" spans="1:14" ht="14.4" x14ac:dyDescent="0.3">
      <c r="A668" s="20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2"/>
    </row>
    <row r="669" spans="1:14" ht="14.4" x14ac:dyDescent="0.3">
      <c r="A669" s="20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2"/>
    </row>
    <row r="670" spans="1:14" ht="14.4" x14ac:dyDescent="0.3">
      <c r="A670" s="20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2"/>
    </row>
    <row r="671" spans="1:14" ht="14.4" x14ac:dyDescent="0.3">
      <c r="A671" s="20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2"/>
    </row>
    <row r="672" spans="1:14" ht="14.4" x14ac:dyDescent="0.3">
      <c r="A672" s="20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2"/>
    </row>
    <row r="673" spans="1:14" ht="14.4" x14ac:dyDescent="0.3">
      <c r="A673" s="20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2"/>
    </row>
    <row r="674" spans="1:14" ht="14.4" x14ac:dyDescent="0.3">
      <c r="A674" s="20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2"/>
    </row>
    <row r="675" spans="1:14" ht="14.4" x14ac:dyDescent="0.3">
      <c r="A675" s="20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2"/>
    </row>
    <row r="676" spans="1:14" ht="14.4" x14ac:dyDescent="0.3">
      <c r="A676" s="20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2"/>
    </row>
    <row r="677" spans="1:14" ht="14.4" x14ac:dyDescent="0.3">
      <c r="A677" s="20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2"/>
    </row>
    <row r="678" spans="1:14" ht="14.4" x14ac:dyDescent="0.3">
      <c r="A678" s="20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2"/>
    </row>
    <row r="679" spans="1:14" ht="14.4" x14ac:dyDescent="0.3">
      <c r="A679" s="20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2"/>
    </row>
    <row r="680" spans="1:14" ht="14.4" x14ac:dyDescent="0.3">
      <c r="A680" s="20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2"/>
    </row>
    <row r="681" spans="1:14" ht="14.4" x14ac:dyDescent="0.3">
      <c r="A681" s="20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2"/>
    </row>
    <row r="682" spans="1:14" ht="14.4" x14ac:dyDescent="0.3">
      <c r="A682" s="20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2"/>
    </row>
    <row r="683" spans="1:14" ht="14.4" x14ac:dyDescent="0.3">
      <c r="A683" s="20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2"/>
    </row>
    <row r="684" spans="1:14" ht="14.4" x14ac:dyDescent="0.3">
      <c r="A684" s="20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2"/>
    </row>
    <row r="685" spans="1:14" ht="14.4" x14ac:dyDescent="0.3">
      <c r="A685" s="20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2"/>
    </row>
    <row r="686" spans="1:14" ht="14.4" x14ac:dyDescent="0.3">
      <c r="A686" s="20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2"/>
    </row>
    <row r="687" spans="1:14" ht="14.4" x14ac:dyDescent="0.3">
      <c r="A687" s="20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2"/>
    </row>
    <row r="688" spans="1:14" ht="14.4" x14ac:dyDescent="0.3">
      <c r="A688" s="20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2"/>
    </row>
    <row r="689" spans="1:14" ht="14.4" x14ac:dyDescent="0.3">
      <c r="A689" s="20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2"/>
    </row>
    <row r="690" spans="1:14" ht="14.4" x14ac:dyDescent="0.3">
      <c r="A690" s="20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2"/>
    </row>
    <row r="691" spans="1:14" ht="14.4" x14ac:dyDescent="0.3">
      <c r="A691" s="20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2"/>
    </row>
    <row r="692" spans="1:14" ht="14.4" x14ac:dyDescent="0.3">
      <c r="A692" s="20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2"/>
    </row>
    <row r="693" spans="1:14" ht="14.4" x14ac:dyDescent="0.3">
      <c r="A693" s="20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2"/>
    </row>
    <row r="694" spans="1:14" ht="14.4" x14ac:dyDescent="0.3">
      <c r="A694" s="20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2"/>
    </row>
    <row r="695" spans="1:14" ht="14.4" x14ac:dyDescent="0.3">
      <c r="A695" s="20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2"/>
    </row>
    <row r="696" spans="1:14" ht="14.4" x14ac:dyDescent="0.3">
      <c r="A696" s="20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2"/>
    </row>
    <row r="697" spans="1:14" ht="14.4" x14ac:dyDescent="0.3">
      <c r="A697" s="20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2"/>
    </row>
    <row r="698" spans="1:14" ht="14.4" x14ac:dyDescent="0.3">
      <c r="A698" s="20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2"/>
    </row>
    <row r="699" spans="1:14" ht="14.4" x14ac:dyDescent="0.3">
      <c r="A699" s="20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2"/>
    </row>
    <row r="700" spans="1:14" ht="14.4" x14ac:dyDescent="0.3">
      <c r="A700" s="20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2"/>
    </row>
    <row r="701" spans="1:14" ht="14.4" x14ac:dyDescent="0.3">
      <c r="A701" s="20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2"/>
    </row>
    <row r="702" spans="1:14" ht="14.4" x14ac:dyDescent="0.3">
      <c r="A702" s="20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2"/>
    </row>
    <row r="703" spans="1:14" ht="14.4" x14ac:dyDescent="0.3">
      <c r="A703" s="20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2"/>
    </row>
    <row r="704" spans="1:14" ht="14.4" x14ac:dyDescent="0.3">
      <c r="A704" s="20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2"/>
    </row>
    <row r="705" spans="1:14" ht="14.4" x14ac:dyDescent="0.3">
      <c r="A705" s="20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2"/>
    </row>
    <row r="706" spans="1:14" ht="14.4" x14ac:dyDescent="0.3">
      <c r="A706" s="20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2"/>
    </row>
    <row r="707" spans="1:14" ht="14.4" x14ac:dyDescent="0.3">
      <c r="A707" s="20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2"/>
    </row>
    <row r="708" spans="1:14" ht="14.4" x14ac:dyDescent="0.3">
      <c r="A708" s="20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2"/>
    </row>
    <row r="709" spans="1:14" ht="14.4" x14ac:dyDescent="0.3">
      <c r="A709" s="20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2"/>
    </row>
    <row r="710" spans="1:14" ht="14.4" x14ac:dyDescent="0.3">
      <c r="A710" s="20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2"/>
    </row>
    <row r="711" spans="1:14" ht="14.4" x14ac:dyDescent="0.3">
      <c r="A711" s="20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2"/>
    </row>
    <row r="712" spans="1:14" ht="14.4" x14ac:dyDescent="0.3">
      <c r="A712" s="20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2"/>
    </row>
    <row r="713" spans="1:14" ht="14.4" x14ac:dyDescent="0.3">
      <c r="A713" s="20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2"/>
    </row>
    <row r="714" spans="1:14" ht="14.4" x14ac:dyDescent="0.3">
      <c r="A714" s="20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2"/>
    </row>
    <row r="715" spans="1:14" ht="14.4" x14ac:dyDescent="0.3">
      <c r="A715" s="20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2"/>
    </row>
    <row r="716" spans="1:14" ht="14.4" x14ac:dyDescent="0.3">
      <c r="A716" s="20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2"/>
    </row>
    <row r="717" spans="1:14" ht="14.4" x14ac:dyDescent="0.3">
      <c r="A717" s="20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2"/>
    </row>
    <row r="718" spans="1:14" ht="14.4" x14ac:dyDescent="0.3">
      <c r="A718" s="20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2"/>
    </row>
    <row r="719" spans="1:14" ht="14.4" x14ac:dyDescent="0.3">
      <c r="A719" s="20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2"/>
    </row>
    <row r="720" spans="1:14" ht="14.4" x14ac:dyDescent="0.3">
      <c r="A720" s="20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2"/>
    </row>
    <row r="721" spans="1:14" ht="14.4" x14ac:dyDescent="0.3">
      <c r="A721" s="20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2"/>
    </row>
    <row r="722" spans="1:14" ht="14.4" x14ac:dyDescent="0.3">
      <c r="A722" s="20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2"/>
    </row>
    <row r="723" spans="1:14" ht="14.4" x14ac:dyDescent="0.3">
      <c r="A723" s="20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2"/>
    </row>
    <row r="724" spans="1:14" ht="14.4" x14ac:dyDescent="0.3">
      <c r="A724" s="20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14.4" x14ac:dyDescent="0.3">
      <c r="A725" s="20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2"/>
    </row>
    <row r="726" spans="1:14" ht="14.4" x14ac:dyDescent="0.3">
      <c r="A726" s="20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14.4" x14ac:dyDescent="0.3">
      <c r="A727" s="20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2"/>
    </row>
    <row r="728" spans="1:14" ht="14.4" x14ac:dyDescent="0.3">
      <c r="A728" s="20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14.4" x14ac:dyDescent="0.3">
      <c r="A729" s="20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2"/>
    </row>
    <row r="730" spans="1:14" ht="14.4" x14ac:dyDescent="0.3">
      <c r="A730" s="20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14.4" x14ac:dyDescent="0.3">
      <c r="A731" s="20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2"/>
    </row>
    <row r="732" spans="1:14" ht="14.4" x14ac:dyDescent="0.3">
      <c r="A732" s="20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14.4" x14ac:dyDescent="0.3">
      <c r="A733" s="20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2"/>
    </row>
    <row r="734" spans="1:14" ht="14.4" x14ac:dyDescent="0.3">
      <c r="A734" s="20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14.4" x14ac:dyDescent="0.3">
      <c r="A735" s="20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2"/>
    </row>
    <row r="736" spans="1:14" ht="14.4" x14ac:dyDescent="0.3">
      <c r="A736" s="20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2"/>
    </row>
    <row r="737" spans="1:14" ht="14.4" x14ac:dyDescent="0.3">
      <c r="A737" s="20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2"/>
    </row>
    <row r="738" spans="1:14" ht="14.4" x14ac:dyDescent="0.3">
      <c r="A738" s="20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14.4" x14ac:dyDescent="0.3">
      <c r="A739" s="20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2"/>
    </row>
    <row r="740" spans="1:14" ht="14.4" x14ac:dyDescent="0.3">
      <c r="A740" s="20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14.4" x14ac:dyDescent="0.3">
      <c r="A741" s="20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2"/>
    </row>
    <row r="742" spans="1:14" ht="14.4" x14ac:dyDescent="0.3">
      <c r="A742" s="20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2"/>
    </row>
    <row r="743" spans="1:14" ht="14.4" x14ac:dyDescent="0.3">
      <c r="A743" s="20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2"/>
    </row>
    <row r="744" spans="1:14" ht="14.4" x14ac:dyDescent="0.3">
      <c r="A744" s="20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14.4" x14ac:dyDescent="0.3">
      <c r="A745" s="20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2"/>
    </row>
    <row r="746" spans="1:14" ht="14.4" x14ac:dyDescent="0.3">
      <c r="A746" s="20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14.4" x14ac:dyDescent="0.3">
      <c r="A747" s="20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2"/>
    </row>
    <row r="748" spans="1:14" ht="14.4" x14ac:dyDescent="0.3">
      <c r="A748" s="20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14.4" x14ac:dyDescent="0.3">
      <c r="A749" s="20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2"/>
    </row>
    <row r="750" spans="1:14" ht="14.4" x14ac:dyDescent="0.3">
      <c r="A750" s="20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2"/>
    </row>
    <row r="751" spans="1:14" ht="14.4" x14ac:dyDescent="0.3">
      <c r="A751" s="20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2"/>
    </row>
    <row r="752" spans="1:14" ht="14.4" x14ac:dyDescent="0.3">
      <c r="A752" s="20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14.4" x14ac:dyDescent="0.3">
      <c r="A753" s="20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2"/>
    </row>
    <row r="754" spans="1:14" ht="14.4" x14ac:dyDescent="0.3">
      <c r="A754" s="20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14.4" x14ac:dyDescent="0.3">
      <c r="A755" s="20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2"/>
    </row>
    <row r="756" spans="1:14" ht="14.4" x14ac:dyDescent="0.3">
      <c r="A756" s="20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2"/>
    </row>
    <row r="757" spans="1:14" ht="14.4" x14ac:dyDescent="0.3">
      <c r="A757" s="20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2"/>
    </row>
    <row r="758" spans="1:14" ht="14.4" x14ac:dyDescent="0.3">
      <c r="A758" s="20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14.4" x14ac:dyDescent="0.3">
      <c r="A759" s="20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2"/>
    </row>
    <row r="760" spans="1:14" ht="14.4" x14ac:dyDescent="0.3">
      <c r="A760" s="20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14.4" x14ac:dyDescent="0.3">
      <c r="A761" s="20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2"/>
    </row>
    <row r="762" spans="1:14" ht="14.4" x14ac:dyDescent="0.3">
      <c r="A762" s="20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14.4" x14ac:dyDescent="0.3">
      <c r="A763" s="20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2"/>
    </row>
    <row r="764" spans="1:14" ht="14.4" x14ac:dyDescent="0.3">
      <c r="A764" s="20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14.4" x14ac:dyDescent="0.3">
      <c r="A765" s="20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2"/>
    </row>
    <row r="766" spans="1:14" ht="14.4" x14ac:dyDescent="0.3">
      <c r="A766" s="20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2"/>
    </row>
    <row r="767" spans="1:14" ht="14.4" x14ac:dyDescent="0.3">
      <c r="A767" s="20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2"/>
    </row>
    <row r="768" spans="1:14" ht="14.4" x14ac:dyDescent="0.3">
      <c r="A768" s="20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</row>
    <row r="769" spans="1:14" ht="14.4" x14ac:dyDescent="0.3">
      <c r="A769" s="20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2"/>
    </row>
    <row r="770" spans="1:14" ht="14.4" x14ac:dyDescent="0.3">
      <c r="A770" s="20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2"/>
    </row>
    <row r="771" spans="1:14" ht="14.4" x14ac:dyDescent="0.3">
      <c r="A771" s="20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2"/>
    </row>
    <row r="772" spans="1:14" ht="14.4" x14ac:dyDescent="0.3">
      <c r="A772" s="20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2"/>
    </row>
    <row r="773" spans="1:14" ht="14.4" x14ac:dyDescent="0.3">
      <c r="A773" s="20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2"/>
    </row>
    <row r="774" spans="1:14" ht="14.4" x14ac:dyDescent="0.3">
      <c r="A774" s="20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2"/>
    </row>
    <row r="775" spans="1:14" ht="14.4" x14ac:dyDescent="0.3">
      <c r="A775" s="20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2"/>
    </row>
    <row r="776" spans="1:14" ht="14.4" x14ac:dyDescent="0.3">
      <c r="A776" s="20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2"/>
    </row>
    <row r="777" spans="1:14" ht="14.4" x14ac:dyDescent="0.3">
      <c r="A777" s="20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2"/>
    </row>
    <row r="778" spans="1:14" ht="14.4" x14ac:dyDescent="0.3">
      <c r="A778" s="20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2"/>
    </row>
    <row r="779" spans="1:14" ht="14.4" x14ac:dyDescent="0.3">
      <c r="A779" s="20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2"/>
    </row>
    <row r="780" spans="1:14" ht="14.4" x14ac:dyDescent="0.3">
      <c r="A780" s="20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2"/>
    </row>
    <row r="781" spans="1:14" ht="14.4" x14ac:dyDescent="0.3">
      <c r="A781" s="20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2"/>
    </row>
    <row r="782" spans="1:14" ht="14.4" x14ac:dyDescent="0.3">
      <c r="A782" s="20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2"/>
    </row>
    <row r="783" spans="1:14" ht="14.4" x14ac:dyDescent="0.3">
      <c r="A783" s="20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2"/>
    </row>
    <row r="784" spans="1:14" ht="14.4" x14ac:dyDescent="0.3">
      <c r="A784" s="20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2"/>
    </row>
    <row r="785" spans="1:14" ht="14.4" x14ac:dyDescent="0.3">
      <c r="A785" s="20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2"/>
    </row>
    <row r="786" spans="1:14" ht="14.4" x14ac:dyDescent="0.3">
      <c r="A786" s="20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2"/>
    </row>
    <row r="787" spans="1:14" ht="14.4" x14ac:dyDescent="0.3">
      <c r="A787" s="20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2"/>
    </row>
    <row r="788" spans="1:14" ht="14.4" x14ac:dyDescent="0.3">
      <c r="A788" s="20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2"/>
    </row>
    <row r="789" spans="1:14" ht="14.4" x14ac:dyDescent="0.3">
      <c r="A789" s="20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2"/>
    </row>
    <row r="790" spans="1:14" ht="14.4" x14ac:dyDescent="0.3">
      <c r="A790" s="20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2"/>
    </row>
    <row r="791" spans="1:14" ht="14.4" x14ac:dyDescent="0.3">
      <c r="A791" s="20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2"/>
    </row>
    <row r="792" spans="1:14" ht="14.4" x14ac:dyDescent="0.3">
      <c r="A792" s="20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2"/>
    </row>
    <row r="793" spans="1:14" ht="14.4" x14ac:dyDescent="0.3">
      <c r="A793" s="20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2"/>
    </row>
    <row r="794" spans="1:14" ht="14.4" x14ac:dyDescent="0.3">
      <c r="A794" s="20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2"/>
    </row>
    <row r="795" spans="1:14" ht="14.4" x14ac:dyDescent="0.3">
      <c r="A795" s="20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2"/>
    </row>
    <row r="796" spans="1:14" ht="14.4" x14ac:dyDescent="0.3">
      <c r="A796" s="20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2"/>
    </row>
    <row r="797" spans="1:14" ht="14.4" x14ac:dyDescent="0.3">
      <c r="A797" s="20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2"/>
    </row>
    <row r="798" spans="1:14" ht="14.4" x14ac:dyDescent="0.3">
      <c r="A798" s="20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2"/>
    </row>
    <row r="799" spans="1:14" ht="14.4" x14ac:dyDescent="0.3">
      <c r="A799" s="20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2"/>
    </row>
    <row r="800" spans="1:14" ht="14.4" x14ac:dyDescent="0.3">
      <c r="A800" s="20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2"/>
    </row>
    <row r="801" spans="1:14" ht="14.4" x14ac:dyDescent="0.3">
      <c r="A801" s="20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2"/>
    </row>
    <row r="802" spans="1:14" ht="14.4" x14ac:dyDescent="0.3">
      <c r="A802" s="20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2"/>
    </row>
    <row r="803" spans="1:14" ht="14.4" x14ac:dyDescent="0.3">
      <c r="A803" s="20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2"/>
    </row>
    <row r="804" spans="1:14" ht="14.4" x14ac:dyDescent="0.3">
      <c r="A804" s="20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2"/>
    </row>
    <row r="805" spans="1:14" ht="14.4" x14ac:dyDescent="0.3">
      <c r="A805" s="20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2"/>
    </row>
    <row r="806" spans="1:14" ht="14.4" x14ac:dyDescent="0.3">
      <c r="A806" s="20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2"/>
    </row>
    <row r="807" spans="1:14" ht="14.4" x14ac:dyDescent="0.3">
      <c r="A807" s="20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2"/>
    </row>
    <row r="808" spans="1:14" ht="14.4" x14ac:dyDescent="0.3">
      <c r="A808" s="20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2"/>
    </row>
    <row r="809" spans="1:14" ht="14.4" x14ac:dyDescent="0.3">
      <c r="A809" s="20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2"/>
    </row>
    <row r="810" spans="1:14" ht="14.4" x14ac:dyDescent="0.3">
      <c r="A810" s="20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2"/>
    </row>
    <row r="811" spans="1:14" ht="14.4" x14ac:dyDescent="0.3">
      <c r="A811" s="20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2"/>
    </row>
    <row r="812" spans="1:14" ht="14.4" x14ac:dyDescent="0.3">
      <c r="A812" s="20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2"/>
    </row>
    <row r="813" spans="1:14" ht="14.4" x14ac:dyDescent="0.3">
      <c r="A813" s="20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2"/>
    </row>
    <row r="814" spans="1:14" ht="14.4" x14ac:dyDescent="0.3">
      <c r="A814" s="20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2"/>
    </row>
    <row r="815" spans="1:14" ht="14.4" x14ac:dyDescent="0.3">
      <c r="A815" s="20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2"/>
    </row>
    <row r="816" spans="1:14" ht="14.4" x14ac:dyDescent="0.3">
      <c r="A816" s="20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2"/>
    </row>
    <row r="817" spans="1:14" ht="14.4" x14ac:dyDescent="0.3">
      <c r="A817" s="20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2"/>
    </row>
    <row r="818" spans="1:14" ht="14.4" x14ac:dyDescent="0.3">
      <c r="A818" s="20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2"/>
    </row>
    <row r="819" spans="1:14" ht="14.4" x14ac:dyDescent="0.3">
      <c r="A819" s="20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2"/>
    </row>
    <row r="820" spans="1:14" ht="14.4" x14ac:dyDescent="0.3">
      <c r="A820" s="20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2"/>
    </row>
    <row r="821" spans="1:14" ht="14.4" x14ac:dyDescent="0.3">
      <c r="A821" s="20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2"/>
    </row>
    <row r="822" spans="1:14" ht="14.4" x14ac:dyDescent="0.3">
      <c r="A822" s="20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2"/>
    </row>
    <row r="823" spans="1:14" ht="14.4" x14ac:dyDescent="0.3">
      <c r="A823" s="20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2"/>
    </row>
    <row r="824" spans="1:14" ht="14.4" x14ac:dyDescent="0.3">
      <c r="A824" s="20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2"/>
    </row>
    <row r="825" spans="1:14" ht="14.4" x14ac:dyDescent="0.3">
      <c r="A825" s="20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2"/>
    </row>
    <row r="826" spans="1:14" ht="14.4" x14ac:dyDescent="0.3">
      <c r="A826" s="20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2"/>
    </row>
    <row r="827" spans="1:14" ht="14.4" x14ac:dyDescent="0.3">
      <c r="A827" s="20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2"/>
    </row>
    <row r="828" spans="1:14" ht="14.4" x14ac:dyDescent="0.3">
      <c r="A828" s="20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2"/>
    </row>
    <row r="829" spans="1:14" ht="14.4" x14ac:dyDescent="0.3">
      <c r="A829" s="20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2"/>
    </row>
    <row r="830" spans="1:14" ht="14.4" x14ac:dyDescent="0.3">
      <c r="A830" s="20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14.4" x14ac:dyDescent="0.3">
      <c r="A831" s="20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2"/>
    </row>
    <row r="832" spans="1:14" ht="14.4" x14ac:dyDescent="0.3">
      <c r="A832" s="20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2"/>
    </row>
    <row r="833" spans="1:14" ht="14.4" x14ac:dyDescent="0.3">
      <c r="A833" s="20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2"/>
    </row>
    <row r="834" spans="1:14" ht="14.4" x14ac:dyDescent="0.3">
      <c r="A834" s="20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14.4" x14ac:dyDescent="0.3">
      <c r="A835" s="20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2"/>
    </row>
    <row r="836" spans="1:14" ht="14.4" x14ac:dyDescent="0.3">
      <c r="A836" s="20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14.4" x14ac:dyDescent="0.3">
      <c r="A837" s="20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2"/>
    </row>
    <row r="838" spans="1:14" ht="14.4" x14ac:dyDescent="0.3">
      <c r="A838" s="20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14.4" x14ac:dyDescent="0.3">
      <c r="A839" s="20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2"/>
    </row>
    <row r="840" spans="1:14" ht="14.4" x14ac:dyDescent="0.3">
      <c r="A840" s="20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14.4" x14ac:dyDescent="0.3">
      <c r="A841" s="20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2"/>
    </row>
    <row r="842" spans="1:14" ht="14.4" x14ac:dyDescent="0.3">
      <c r="A842" s="20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14.4" x14ac:dyDescent="0.3">
      <c r="A843" s="20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2"/>
    </row>
    <row r="844" spans="1:14" ht="14.4" x14ac:dyDescent="0.3">
      <c r="A844" s="20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14.4" x14ac:dyDescent="0.3">
      <c r="A845" s="20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2"/>
    </row>
    <row r="846" spans="1:14" ht="14.4" x14ac:dyDescent="0.3">
      <c r="A846" s="20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2"/>
    </row>
    <row r="847" spans="1:14" ht="14.4" x14ac:dyDescent="0.3">
      <c r="A847" s="20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2"/>
    </row>
    <row r="848" spans="1:14" ht="14.4" x14ac:dyDescent="0.3">
      <c r="A848" s="20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14.4" x14ac:dyDescent="0.3">
      <c r="A849" s="20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2"/>
    </row>
    <row r="850" spans="1:14" ht="14.4" x14ac:dyDescent="0.3">
      <c r="A850" s="20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14.4" x14ac:dyDescent="0.3">
      <c r="A851" s="20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2"/>
    </row>
    <row r="852" spans="1:14" ht="14.4" x14ac:dyDescent="0.3">
      <c r="A852" s="20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2"/>
    </row>
    <row r="853" spans="1:14" ht="14.4" x14ac:dyDescent="0.3">
      <c r="A853" s="20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2"/>
    </row>
    <row r="854" spans="1:14" ht="14.4" x14ac:dyDescent="0.3">
      <c r="A854" s="20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14.4" x14ac:dyDescent="0.3">
      <c r="A855" s="20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2"/>
    </row>
    <row r="856" spans="1:14" ht="14.4" x14ac:dyDescent="0.3">
      <c r="A856" s="20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14.4" x14ac:dyDescent="0.3">
      <c r="A857" s="20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2"/>
    </row>
    <row r="858" spans="1:14" ht="14.4" x14ac:dyDescent="0.3">
      <c r="A858" s="20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14.4" x14ac:dyDescent="0.3">
      <c r="A859" s="20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2"/>
    </row>
    <row r="860" spans="1:14" ht="14.4" x14ac:dyDescent="0.3">
      <c r="A860" s="20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2"/>
    </row>
    <row r="861" spans="1:14" ht="14.4" x14ac:dyDescent="0.3">
      <c r="A861" s="20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2"/>
    </row>
    <row r="862" spans="1:14" ht="14.4" x14ac:dyDescent="0.3">
      <c r="A862" s="20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14.4" x14ac:dyDescent="0.3">
      <c r="A863" s="20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2"/>
    </row>
    <row r="864" spans="1:14" ht="14.4" x14ac:dyDescent="0.3">
      <c r="A864" s="20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14.4" x14ac:dyDescent="0.3">
      <c r="A865" s="20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2"/>
    </row>
    <row r="866" spans="1:14" ht="14.4" x14ac:dyDescent="0.3">
      <c r="A866" s="20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14.4" x14ac:dyDescent="0.3">
      <c r="A867" s="20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2"/>
    </row>
    <row r="868" spans="1:14" ht="14.4" x14ac:dyDescent="0.3">
      <c r="A868" s="20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14.4" x14ac:dyDescent="0.3">
      <c r="A869" s="20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2"/>
    </row>
    <row r="870" spans="1:14" ht="14.4" x14ac:dyDescent="0.3">
      <c r="A870" s="20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14.4" x14ac:dyDescent="0.3">
      <c r="A871" s="20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2"/>
    </row>
    <row r="872" spans="1:14" ht="14.4" x14ac:dyDescent="0.3">
      <c r="A872" s="20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14.4" x14ac:dyDescent="0.3">
      <c r="A873" s="20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2"/>
    </row>
    <row r="874" spans="1:14" ht="14.4" x14ac:dyDescent="0.3">
      <c r="A874" s="20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14.4" x14ac:dyDescent="0.3">
      <c r="A875" s="20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2"/>
    </row>
    <row r="876" spans="1:14" ht="14.4" x14ac:dyDescent="0.3">
      <c r="A876" s="20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2"/>
    </row>
    <row r="877" spans="1:14" ht="14.4" x14ac:dyDescent="0.3">
      <c r="A877" s="20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2"/>
    </row>
    <row r="878" spans="1:14" ht="14.4" x14ac:dyDescent="0.3">
      <c r="A878" s="20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14.4" x14ac:dyDescent="0.3">
      <c r="A879" s="20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2"/>
    </row>
    <row r="880" spans="1:14" ht="14.4" x14ac:dyDescent="0.3">
      <c r="A880" s="20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14.4" x14ac:dyDescent="0.3">
      <c r="A881" s="20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2"/>
    </row>
    <row r="882" spans="1:14" ht="14.4" x14ac:dyDescent="0.3">
      <c r="A882" s="20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2"/>
    </row>
    <row r="883" spans="1:14" ht="14.4" x14ac:dyDescent="0.3">
      <c r="A883" s="20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2"/>
    </row>
    <row r="884" spans="1:14" ht="14.4" x14ac:dyDescent="0.3">
      <c r="A884" s="20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2"/>
    </row>
    <row r="885" spans="1:14" ht="14.4" x14ac:dyDescent="0.3">
      <c r="A885" s="20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2"/>
    </row>
    <row r="886" spans="1:14" ht="14.4" x14ac:dyDescent="0.3">
      <c r="A886" s="20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2"/>
    </row>
    <row r="887" spans="1:14" ht="14.4" x14ac:dyDescent="0.3">
      <c r="A887" s="20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2"/>
    </row>
    <row r="888" spans="1:14" ht="14.4" x14ac:dyDescent="0.3">
      <c r="A888" s="20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2"/>
    </row>
    <row r="889" spans="1:14" ht="14.4" x14ac:dyDescent="0.3">
      <c r="A889" s="20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2"/>
    </row>
    <row r="890" spans="1:14" ht="14.4" x14ac:dyDescent="0.3">
      <c r="A890" s="20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2"/>
    </row>
    <row r="891" spans="1:14" ht="14.4" x14ac:dyDescent="0.3">
      <c r="A891" s="20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2"/>
    </row>
    <row r="892" spans="1:14" ht="14.4" x14ac:dyDescent="0.3">
      <c r="A892" s="20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2"/>
    </row>
    <row r="893" spans="1:14" ht="14.4" x14ac:dyDescent="0.3">
      <c r="A893" s="20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2"/>
    </row>
    <row r="894" spans="1:14" ht="14.4" x14ac:dyDescent="0.3">
      <c r="A894" s="20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2"/>
    </row>
    <row r="895" spans="1:14" ht="14.4" x14ac:dyDescent="0.3">
      <c r="A895" s="20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2"/>
    </row>
    <row r="896" spans="1:14" ht="14.4" x14ac:dyDescent="0.3">
      <c r="A896" s="20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2"/>
    </row>
    <row r="897" spans="1:14" ht="14.4" x14ac:dyDescent="0.3">
      <c r="A897" s="20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2"/>
    </row>
    <row r="898" spans="1:14" ht="14.4" x14ac:dyDescent="0.3">
      <c r="A898" s="20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2"/>
    </row>
    <row r="899" spans="1:14" ht="14.4" x14ac:dyDescent="0.3">
      <c r="A899" s="20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2"/>
    </row>
    <row r="900" spans="1:14" ht="14.4" x14ac:dyDescent="0.3">
      <c r="A900" s="20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2"/>
    </row>
    <row r="901" spans="1:14" ht="14.4" x14ac:dyDescent="0.3">
      <c r="A901" s="20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2"/>
    </row>
    <row r="902" spans="1:14" ht="14.4" x14ac:dyDescent="0.3">
      <c r="A902" s="20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2"/>
    </row>
    <row r="903" spans="1:14" ht="14.4" x14ac:dyDescent="0.3">
      <c r="A903" s="20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2"/>
    </row>
    <row r="904" spans="1:14" ht="14.4" x14ac:dyDescent="0.3">
      <c r="A904" s="20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2"/>
    </row>
    <row r="905" spans="1:14" ht="14.4" x14ac:dyDescent="0.3">
      <c r="A905" s="20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2"/>
    </row>
    <row r="906" spans="1:14" ht="14.4" x14ac:dyDescent="0.3">
      <c r="A906" s="20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2"/>
    </row>
    <row r="907" spans="1:14" ht="14.4" x14ac:dyDescent="0.3">
      <c r="A907" s="20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2"/>
    </row>
    <row r="908" spans="1:14" ht="14.4" x14ac:dyDescent="0.3">
      <c r="A908" s="20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2"/>
    </row>
    <row r="909" spans="1:14" ht="14.4" x14ac:dyDescent="0.3">
      <c r="A909" s="20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2"/>
    </row>
    <row r="910" spans="1:14" ht="14.4" x14ac:dyDescent="0.3">
      <c r="A910" s="20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2"/>
    </row>
    <row r="911" spans="1:14" ht="14.4" x14ac:dyDescent="0.3">
      <c r="A911" s="20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2"/>
    </row>
    <row r="912" spans="1:14" ht="14.4" x14ac:dyDescent="0.3">
      <c r="A912" s="20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2"/>
    </row>
    <row r="913" spans="1:14" ht="14.4" x14ac:dyDescent="0.3">
      <c r="A913" s="20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2"/>
    </row>
    <row r="914" spans="1:14" ht="14.4" x14ac:dyDescent="0.3">
      <c r="A914" s="20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2"/>
    </row>
    <row r="915" spans="1:14" ht="14.4" x14ac:dyDescent="0.3">
      <c r="A915" s="20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2"/>
    </row>
    <row r="916" spans="1:14" ht="14.4" x14ac:dyDescent="0.3">
      <c r="A916" s="20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2"/>
    </row>
    <row r="917" spans="1:14" ht="14.4" x14ac:dyDescent="0.3">
      <c r="A917" s="20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2"/>
    </row>
    <row r="918" spans="1:14" ht="14.4" x14ac:dyDescent="0.3">
      <c r="A918" s="20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2"/>
    </row>
    <row r="919" spans="1:14" ht="14.4" x14ac:dyDescent="0.3">
      <c r="A919" s="20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2"/>
    </row>
    <row r="920" spans="1:14" ht="14.4" x14ac:dyDescent="0.3">
      <c r="A920" s="20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2"/>
    </row>
    <row r="921" spans="1:14" ht="14.4" x14ac:dyDescent="0.3">
      <c r="A921" s="20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2"/>
    </row>
    <row r="922" spans="1:14" ht="14.4" x14ac:dyDescent="0.3">
      <c r="A922" s="20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2"/>
    </row>
    <row r="923" spans="1:14" ht="14.4" x14ac:dyDescent="0.3">
      <c r="A923" s="20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2"/>
    </row>
    <row r="924" spans="1:14" ht="14.4" x14ac:dyDescent="0.3">
      <c r="A924" s="20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2"/>
    </row>
    <row r="925" spans="1:14" ht="14.4" x14ac:dyDescent="0.3">
      <c r="A925" s="20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2"/>
    </row>
    <row r="926" spans="1:14" ht="14.4" x14ac:dyDescent="0.3">
      <c r="A926" s="20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2"/>
    </row>
    <row r="927" spans="1:14" ht="14.4" x14ac:dyDescent="0.3">
      <c r="A927" s="20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2"/>
    </row>
    <row r="928" spans="1:14" ht="14.4" x14ac:dyDescent="0.3">
      <c r="A928" s="20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2"/>
    </row>
    <row r="929" spans="1:14" ht="14.4" x14ac:dyDescent="0.3">
      <c r="A929" s="20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2"/>
    </row>
    <row r="930" spans="1:14" ht="14.4" x14ac:dyDescent="0.3">
      <c r="A930" s="20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2"/>
    </row>
    <row r="931" spans="1:14" ht="14.4" x14ac:dyDescent="0.3">
      <c r="A931" s="20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2"/>
    </row>
    <row r="932" spans="1:14" ht="14.4" x14ac:dyDescent="0.3">
      <c r="A932" s="20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2"/>
    </row>
    <row r="933" spans="1:14" ht="14.4" x14ac:dyDescent="0.3">
      <c r="A933" s="20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2"/>
    </row>
    <row r="934" spans="1:14" ht="14.4" x14ac:dyDescent="0.3">
      <c r="A934" s="20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2"/>
    </row>
    <row r="935" spans="1:14" ht="14.4" x14ac:dyDescent="0.3">
      <c r="A935" s="20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2"/>
    </row>
    <row r="936" spans="1:14" ht="14.4" x14ac:dyDescent="0.3">
      <c r="A936" s="20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2"/>
    </row>
    <row r="937" spans="1:14" ht="14.4" x14ac:dyDescent="0.3">
      <c r="A937" s="20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2"/>
    </row>
    <row r="938" spans="1:14" ht="14.4" x14ac:dyDescent="0.3">
      <c r="A938" s="20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2"/>
    </row>
    <row r="939" spans="1:14" ht="14.4" x14ac:dyDescent="0.3">
      <c r="A939" s="20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2"/>
    </row>
    <row r="940" spans="1:14" ht="14.4" x14ac:dyDescent="0.3">
      <c r="A940" s="20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14.4" x14ac:dyDescent="0.3">
      <c r="A941" s="20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2"/>
    </row>
    <row r="942" spans="1:14" ht="14.4" x14ac:dyDescent="0.3">
      <c r="A942" s="20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2"/>
    </row>
    <row r="943" spans="1:14" ht="14.4" x14ac:dyDescent="0.3">
      <c r="A943" s="20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2"/>
    </row>
    <row r="944" spans="1:14" ht="14.4" x14ac:dyDescent="0.3">
      <c r="A944" s="20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14.4" x14ac:dyDescent="0.3">
      <c r="A945" s="20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2"/>
    </row>
    <row r="946" spans="1:14" ht="14.4" x14ac:dyDescent="0.3">
      <c r="A946" s="20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14.4" x14ac:dyDescent="0.3">
      <c r="A947" s="20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2"/>
    </row>
    <row r="948" spans="1:14" ht="14.4" x14ac:dyDescent="0.3">
      <c r="A948" s="20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14.4" x14ac:dyDescent="0.3">
      <c r="A949" s="20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2"/>
    </row>
    <row r="950" spans="1:14" ht="14.4" x14ac:dyDescent="0.3">
      <c r="A950" s="20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14.4" x14ac:dyDescent="0.3">
      <c r="A951" s="20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2"/>
    </row>
    <row r="952" spans="1:14" ht="14.4" x14ac:dyDescent="0.3">
      <c r="A952" s="20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14.4" x14ac:dyDescent="0.3">
      <c r="A953" s="20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2"/>
    </row>
    <row r="954" spans="1:14" ht="14.4" x14ac:dyDescent="0.3">
      <c r="A954" s="20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14.4" x14ac:dyDescent="0.3">
      <c r="A955" s="20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2"/>
    </row>
    <row r="956" spans="1:14" ht="14.4" x14ac:dyDescent="0.3">
      <c r="A956" s="20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14.4" x14ac:dyDescent="0.3">
      <c r="A957" s="20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2"/>
    </row>
    <row r="958" spans="1:14" ht="14.4" x14ac:dyDescent="0.3">
      <c r="A958" s="20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14.4" x14ac:dyDescent="0.3">
      <c r="A959" s="20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2"/>
    </row>
    <row r="960" spans="1:14" ht="14.4" x14ac:dyDescent="0.3">
      <c r="A960" s="20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14.4" x14ac:dyDescent="0.3">
      <c r="A961" s="20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2"/>
    </row>
    <row r="962" spans="1:14" ht="14.4" x14ac:dyDescent="0.3">
      <c r="A962" s="20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14.4" x14ac:dyDescent="0.3">
      <c r="A963" s="20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2"/>
    </row>
    <row r="964" spans="1:14" ht="14.4" x14ac:dyDescent="0.3">
      <c r="A964" s="20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14.4" x14ac:dyDescent="0.3">
      <c r="A965" s="20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2"/>
    </row>
    <row r="966" spans="1:14" ht="14.4" x14ac:dyDescent="0.3">
      <c r="A966" s="20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14.4" x14ac:dyDescent="0.3">
      <c r="A967" s="20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2"/>
    </row>
    <row r="968" spans="1:14" ht="14.4" x14ac:dyDescent="0.3">
      <c r="A968" s="20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14.4" x14ac:dyDescent="0.3">
      <c r="A969" s="20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2"/>
    </row>
    <row r="970" spans="1:14" ht="14.4" x14ac:dyDescent="0.3">
      <c r="A970" s="20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14.4" x14ac:dyDescent="0.3">
      <c r="A971" s="20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2"/>
    </row>
    <row r="972" spans="1:14" ht="14.4" x14ac:dyDescent="0.3">
      <c r="A972" s="23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14.4" x14ac:dyDescent="0.3">
      <c r="A973" s="23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2"/>
    </row>
    <row r="974" spans="1:14" ht="14.4" x14ac:dyDescent="0.3">
      <c r="A974" s="23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14.4" x14ac:dyDescent="0.3">
      <c r="A975" s="23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2"/>
    </row>
    <row r="976" spans="1:14" ht="14.4" x14ac:dyDescent="0.3">
      <c r="A976" s="23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14.4" x14ac:dyDescent="0.3">
      <c r="A977" s="23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2"/>
    </row>
    <row r="978" spans="1:14" ht="14.4" x14ac:dyDescent="0.3">
      <c r="A978" s="23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14.4" x14ac:dyDescent="0.3">
      <c r="A979" s="23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2"/>
    </row>
    <row r="980" spans="1:14" ht="14.4" x14ac:dyDescent="0.3">
      <c r="A980" s="23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</sheetData>
  <conditionalFormatting sqref="B20:M39">
    <cfRule type="cellIs" dxfId="2" priority="1" operator="lessThan">
      <formula>0</formula>
    </cfRule>
  </conditionalFormatting>
  <printOptions horizontalCentered="1"/>
  <pageMargins left="0" right="0" top="0.39370078740157477" bottom="0.39370078740157477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980"/>
  <sheetViews>
    <sheetView topLeftCell="A13" workbookViewId="0">
      <selection activeCell="A41" sqref="A41:XFD41"/>
    </sheetView>
  </sheetViews>
  <sheetFormatPr defaultColWidth="14.44140625" defaultRowHeight="15" customHeight="1" x14ac:dyDescent="0.3"/>
  <cols>
    <col min="1" max="1" width="43.33203125" customWidth="1"/>
    <col min="2" max="2" width="18" customWidth="1"/>
    <col min="3" max="3" width="18.33203125" customWidth="1"/>
    <col min="4" max="9" width="18" customWidth="1"/>
    <col min="10" max="10" width="18.88671875" customWidth="1"/>
    <col min="11" max="11" width="18" customWidth="1"/>
    <col min="12" max="12" width="19.6640625" customWidth="1"/>
    <col min="13" max="13" width="19.44140625" customWidth="1"/>
    <col min="14" max="14" width="20.109375" customWidth="1"/>
  </cols>
  <sheetData>
    <row r="1" spans="1:14" ht="33" customHeight="1" x14ac:dyDescent="0.3">
      <c r="A1" s="1"/>
      <c r="B1" s="2">
        <v>47484</v>
      </c>
      <c r="C1" s="2">
        <v>47515</v>
      </c>
      <c r="D1" s="2">
        <v>47543</v>
      </c>
      <c r="E1" s="2">
        <v>47574</v>
      </c>
      <c r="F1" s="2">
        <v>47604</v>
      </c>
      <c r="G1" s="2">
        <v>47635</v>
      </c>
      <c r="H1" s="2">
        <v>47665</v>
      </c>
      <c r="I1" s="2">
        <v>47696</v>
      </c>
      <c r="J1" s="2">
        <v>47727</v>
      </c>
      <c r="K1" s="2">
        <v>47757</v>
      </c>
      <c r="L1" s="2">
        <v>47788</v>
      </c>
      <c r="M1" s="2">
        <v>47818</v>
      </c>
      <c r="N1" s="3" t="s">
        <v>0</v>
      </c>
    </row>
    <row r="2" spans="1:14" ht="33" customHeight="1" x14ac:dyDescent="0.3">
      <c r="A2" s="4" t="s">
        <v>1</v>
      </c>
      <c r="B2" s="3">
        <f>ROUNDDOWN(Dados!$B$1+('2029'!M2-('2029'!M2*Dados!$B$3)),0)</f>
        <v>299</v>
      </c>
      <c r="C2" s="3">
        <f>ROUNDDOWN(Dados!$B$1+(B2-(B2*Dados!$B$3)),0)</f>
        <v>303</v>
      </c>
      <c r="D2" s="3">
        <f>ROUNDDOWN(Dados!$B$1+(C2-(C2*Dados!$B$3)),0)</f>
        <v>306</v>
      </c>
      <c r="E2" s="3">
        <f>ROUNDDOWN(Dados!$B$1+(D2-(D2*Dados!$B$3)),0)</f>
        <v>309</v>
      </c>
      <c r="F2" s="3">
        <f>ROUNDDOWN(Dados!$B$1+(E2-(E2*Dados!$B$3)),0)</f>
        <v>312</v>
      </c>
      <c r="G2" s="3">
        <f>ROUNDDOWN(Dados!$B$1+(F2-(F2*Dados!$B$3)),0)</f>
        <v>315</v>
      </c>
      <c r="H2" s="3">
        <f>ROUNDDOWN(Dados!$B$1+(G2-(G2*Dados!$B$3)),0)</f>
        <v>318</v>
      </c>
      <c r="I2" s="3">
        <f>ROUNDDOWN(Dados!$B$1+(H2-(H2*Dados!$B$3)),0)</f>
        <v>321</v>
      </c>
      <c r="J2" s="3">
        <f>ROUNDDOWN(Dados!$B$1+(I2-(I2*Dados!$B$3)),0)</f>
        <v>324</v>
      </c>
      <c r="K2" s="3">
        <f>ROUNDDOWN(Dados!$B$1+(J2-(J2*Dados!$B$3)),0)</f>
        <v>327</v>
      </c>
      <c r="L2" s="3">
        <f>ROUNDDOWN(Dados!$B$1+(K2-(K2*Dados!$B$3)),0)</f>
        <v>330</v>
      </c>
      <c r="M2" s="3">
        <f>ROUNDDOWN(Dados!$B$1+(L2-(L2*Dados!$B$3)),0)</f>
        <v>333</v>
      </c>
      <c r="N2" s="3">
        <f>M2</f>
        <v>333</v>
      </c>
    </row>
    <row r="3" spans="1:14" ht="6" customHeight="1" x14ac:dyDescent="0.3"/>
    <row r="4" spans="1:14" ht="27" customHeight="1" x14ac:dyDescent="0.3">
      <c r="A4" s="4" t="s">
        <v>2</v>
      </c>
      <c r="B4" s="5">
        <f t="shared" ref="B4:M4" si="0">ROUND(B5+B6,2)</f>
        <v>249904.2</v>
      </c>
      <c r="C4" s="5">
        <f t="shared" si="0"/>
        <v>253247.4</v>
      </c>
      <c r="D4" s="5">
        <f t="shared" si="0"/>
        <v>255754.8</v>
      </c>
      <c r="E4" s="5">
        <f t="shared" si="0"/>
        <v>258262.2</v>
      </c>
      <c r="F4" s="5">
        <f t="shared" si="0"/>
        <v>260769.6</v>
      </c>
      <c r="G4" s="5">
        <f t="shared" si="0"/>
        <v>263277</v>
      </c>
      <c r="H4" s="5">
        <f t="shared" si="0"/>
        <v>265784.40000000002</v>
      </c>
      <c r="I4" s="5">
        <f t="shared" si="0"/>
        <v>268291.8</v>
      </c>
      <c r="J4" s="5">
        <f t="shared" si="0"/>
        <v>270799.2</v>
      </c>
      <c r="K4" s="5">
        <f t="shared" si="0"/>
        <v>273306.59999999998</v>
      </c>
      <c r="L4" s="5">
        <f t="shared" si="0"/>
        <v>275814</v>
      </c>
      <c r="M4" s="5">
        <f t="shared" si="0"/>
        <v>278321.40000000002</v>
      </c>
      <c r="N4" s="5">
        <f t="shared" ref="N4:N9" si="1">ROUND(SUM(B4:M4),2)</f>
        <v>3173532.6</v>
      </c>
    </row>
    <row r="5" spans="1:14" ht="14.4" x14ac:dyDescent="0.3">
      <c r="A5" s="6" t="s">
        <v>3</v>
      </c>
      <c r="B5" s="7">
        <f>ROUND(B2*Dados!$B$5,0)</f>
        <v>178503</v>
      </c>
      <c r="C5" s="7">
        <f>ROUND(C2*Dados!$B$5,0)</f>
        <v>180891</v>
      </c>
      <c r="D5" s="7">
        <f>ROUND(D2*Dados!$B$5,0)</f>
        <v>182682</v>
      </c>
      <c r="E5" s="7">
        <f>ROUND(E2*Dados!$B$5,0)</f>
        <v>184473</v>
      </c>
      <c r="F5" s="7">
        <f>ROUND(F2*Dados!$B$5,0)</f>
        <v>186264</v>
      </c>
      <c r="G5" s="7">
        <f>ROUND(G2*Dados!$B$5,0)</f>
        <v>188055</v>
      </c>
      <c r="H5" s="7">
        <f>ROUND(H2*Dados!$B$5,0)</f>
        <v>189846</v>
      </c>
      <c r="I5" s="7">
        <f>ROUND(I2*Dados!$B$5,0)</f>
        <v>191637</v>
      </c>
      <c r="J5" s="7">
        <f>ROUND(J2*Dados!$B$5,0)</f>
        <v>193428</v>
      </c>
      <c r="K5" s="7">
        <f>ROUND(K2*Dados!$B$5,0)</f>
        <v>195219</v>
      </c>
      <c r="L5" s="7">
        <f>ROUND(L2*Dados!$B$5,0)</f>
        <v>197010</v>
      </c>
      <c r="M5" s="7">
        <f>ROUND(M2*Dados!$B$5,0)</f>
        <v>198801</v>
      </c>
      <c r="N5" s="7">
        <f t="shared" si="1"/>
        <v>2266809</v>
      </c>
    </row>
    <row r="6" spans="1:14" ht="27.6" x14ac:dyDescent="0.3">
      <c r="A6" s="6" t="s">
        <v>4</v>
      </c>
      <c r="B6" s="7">
        <f>IF(Dados!$B$9&gt;0,Dados!$B$9*B2,ROUND(B2*(Dados!$B$11*Dados!$B$7),2))</f>
        <v>71401.2</v>
      </c>
      <c r="C6" s="7">
        <f>IF(Dados!$B$9&gt;0,Dados!$B$9*C2,ROUND(C2*(Dados!$B$11*Dados!$B$7),2))</f>
        <v>72356.399999999994</v>
      </c>
      <c r="D6" s="7">
        <f>IF(Dados!$B$9&gt;0,Dados!$B$9*D2,ROUND(D2*(Dados!$B$11*Dados!$B$7),2))</f>
        <v>73072.800000000003</v>
      </c>
      <c r="E6" s="7">
        <f>IF(Dados!$B$9&gt;0,Dados!$B$9*E2,ROUND(E2*(Dados!$B$11*Dados!$B$7),2))</f>
        <v>73789.2</v>
      </c>
      <c r="F6" s="7">
        <f>IF(Dados!$B$9&gt;0,Dados!$B$9*F2,ROUND(F2*(Dados!$B$11*Dados!$B$7),2))</f>
        <v>74505.600000000006</v>
      </c>
      <c r="G6" s="7">
        <f>IF(Dados!$B$9&gt;0,Dados!$B$9*G2,ROUND(G2*(Dados!$B$11*Dados!$B$7),2))</f>
        <v>75222</v>
      </c>
      <c r="H6" s="7">
        <f>IF(Dados!$B$9&gt;0,Dados!$B$9*H2,ROUND(H2*(Dados!$B$11*Dados!$B$7),2))</f>
        <v>75938.399999999994</v>
      </c>
      <c r="I6" s="7">
        <f>IF(Dados!$B$9&gt;0,Dados!$B$9*I2,ROUND(I2*(Dados!$B$11*Dados!$B$7),2))</f>
        <v>76654.8</v>
      </c>
      <c r="J6" s="7">
        <f>IF(Dados!$B$9&gt;0,Dados!$B$9*J2,ROUND(J2*(Dados!$B$11*Dados!$B$7),2))</f>
        <v>77371.199999999997</v>
      </c>
      <c r="K6" s="7">
        <f>IF(Dados!$B$9&gt;0,Dados!$B$9*K2,ROUND(K2*(Dados!$B$11*Dados!$B$7),2))</f>
        <v>78087.600000000006</v>
      </c>
      <c r="L6" s="7">
        <f>IF(Dados!$B$9&gt;0,Dados!$B$9*L2,ROUND(L2*(Dados!$B$11*Dados!$B$7),2))</f>
        <v>78804</v>
      </c>
      <c r="M6" s="7">
        <f>IF(Dados!$B$9&gt;0,Dados!$B$9*M2,ROUND(M2*(Dados!$B$11*Dados!$B$7),2))</f>
        <v>79520.399999999994</v>
      </c>
      <c r="N6" s="7">
        <f t="shared" si="1"/>
        <v>906723.6</v>
      </c>
    </row>
    <row r="7" spans="1:14" ht="14.4" x14ac:dyDescent="0.3">
      <c r="A7" s="8" t="s">
        <v>5</v>
      </c>
      <c r="B7" s="9">
        <f>B4*Dados!$E$2</f>
        <v>39984.672000000006</v>
      </c>
      <c r="C7" s="9">
        <f>C4*Dados!$E$2</f>
        <v>40519.584000000003</v>
      </c>
      <c r="D7" s="9">
        <f>D4*Dados!$E$2</f>
        <v>40920.767999999996</v>
      </c>
      <c r="E7" s="9">
        <f>E4*Dados!$E$2</f>
        <v>41321.952000000005</v>
      </c>
      <c r="F7" s="9">
        <f>F4*Dados!$E$2</f>
        <v>41723.135999999999</v>
      </c>
      <c r="G7" s="9">
        <f>G4*Dados!$E$2</f>
        <v>42124.32</v>
      </c>
      <c r="H7" s="9">
        <f>H4*Dados!$E$2</f>
        <v>42525.504000000008</v>
      </c>
      <c r="I7" s="9">
        <f>I4*Dados!$E$2</f>
        <v>42926.688000000002</v>
      </c>
      <c r="J7" s="9">
        <f>J4*Dados!$E$2</f>
        <v>43327.872000000003</v>
      </c>
      <c r="K7" s="9">
        <f>K4*Dados!$E$2</f>
        <v>43729.055999999997</v>
      </c>
      <c r="L7" s="9">
        <f>L4*Dados!$E$2</f>
        <v>44130.239999999998</v>
      </c>
      <c r="M7" s="9">
        <f>M4*Dados!$E$2</f>
        <v>44531.424000000006</v>
      </c>
      <c r="N7" s="10">
        <f t="shared" si="1"/>
        <v>507765.22</v>
      </c>
    </row>
    <row r="8" spans="1:14" ht="21" customHeight="1" x14ac:dyDescent="0.3">
      <c r="A8" s="11" t="s">
        <v>6</v>
      </c>
      <c r="B8" s="12">
        <f t="shared" ref="B8:M8" si="2">B4-B7</f>
        <v>209919.52799999999</v>
      </c>
      <c r="C8" s="12">
        <f t="shared" si="2"/>
        <v>212727.81599999999</v>
      </c>
      <c r="D8" s="12">
        <f t="shared" si="2"/>
        <v>214834.03200000001</v>
      </c>
      <c r="E8" s="12">
        <f t="shared" si="2"/>
        <v>216940.24800000002</v>
      </c>
      <c r="F8" s="12">
        <f t="shared" si="2"/>
        <v>219046.46400000001</v>
      </c>
      <c r="G8" s="12">
        <f t="shared" si="2"/>
        <v>221152.68</v>
      </c>
      <c r="H8" s="12">
        <f t="shared" si="2"/>
        <v>223258.89600000001</v>
      </c>
      <c r="I8" s="12">
        <f t="shared" si="2"/>
        <v>225365.11199999999</v>
      </c>
      <c r="J8" s="12">
        <f t="shared" si="2"/>
        <v>227471.32800000001</v>
      </c>
      <c r="K8" s="12">
        <f t="shared" si="2"/>
        <v>229577.54399999999</v>
      </c>
      <c r="L8" s="12">
        <f t="shared" si="2"/>
        <v>231683.76</v>
      </c>
      <c r="M8" s="12">
        <f t="shared" si="2"/>
        <v>233789.97600000002</v>
      </c>
      <c r="N8" s="12">
        <f t="shared" si="1"/>
        <v>2665767.38</v>
      </c>
    </row>
    <row r="9" spans="1:14" ht="21" customHeight="1" x14ac:dyDescent="0.3">
      <c r="A9" s="11" t="s">
        <v>38</v>
      </c>
      <c r="B9" s="12">
        <f t="shared" ref="B9:M9" si="3">ROUND(B8-B14-B15-B16-B17-B18,2)</f>
        <v>126244.38</v>
      </c>
      <c r="C9" s="12">
        <f t="shared" si="3"/>
        <v>127933.27</v>
      </c>
      <c r="D9" s="12">
        <f t="shared" si="3"/>
        <v>129199.93</v>
      </c>
      <c r="E9" s="12">
        <f t="shared" si="3"/>
        <v>130466.6</v>
      </c>
      <c r="F9" s="12">
        <f t="shared" si="3"/>
        <v>131733.26</v>
      </c>
      <c r="G9" s="12">
        <f t="shared" si="3"/>
        <v>132999.93</v>
      </c>
      <c r="H9" s="12">
        <f t="shared" si="3"/>
        <v>134266.6</v>
      </c>
      <c r="I9" s="12">
        <f t="shared" si="3"/>
        <v>135533.26</v>
      </c>
      <c r="J9" s="12">
        <f t="shared" si="3"/>
        <v>136799.93</v>
      </c>
      <c r="K9" s="12">
        <f t="shared" si="3"/>
        <v>138066.59</v>
      </c>
      <c r="L9" s="12">
        <f t="shared" si="3"/>
        <v>139333.26</v>
      </c>
      <c r="M9" s="12">
        <f t="shared" si="3"/>
        <v>140599.93</v>
      </c>
      <c r="N9" s="12">
        <f t="shared" si="1"/>
        <v>1603176.94</v>
      </c>
    </row>
    <row r="10" spans="1:14" ht="14.4" x14ac:dyDescent="0.3">
      <c r="A10" s="6" t="s">
        <v>8</v>
      </c>
      <c r="B10" s="13">
        <f t="shared" ref="B10:N10" si="4">IFERROR(ROUND(B9/B4,2),0)</f>
        <v>0.51</v>
      </c>
      <c r="C10" s="13">
        <f t="shared" si="4"/>
        <v>0.51</v>
      </c>
      <c r="D10" s="13">
        <f t="shared" si="4"/>
        <v>0.51</v>
      </c>
      <c r="E10" s="13">
        <f t="shared" si="4"/>
        <v>0.51</v>
      </c>
      <c r="F10" s="13">
        <f t="shared" si="4"/>
        <v>0.51</v>
      </c>
      <c r="G10" s="13">
        <f t="shared" si="4"/>
        <v>0.51</v>
      </c>
      <c r="H10" s="13">
        <f t="shared" si="4"/>
        <v>0.51</v>
      </c>
      <c r="I10" s="13">
        <f t="shared" si="4"/>
        <v>0.51</v>
      </c>
      <c r="J10" s="13">
        <f t="shared" si="4"/>
        <v>0.51</v>
      </c>
      <c r="K10" s="13">
        <f t="shared" si="4"/>
        <v>0.51</v>
      </c>
      <c r="L10" s="13">
        <f t="shared" si="4"/>
        <v>0.51</v>
      </c>
      <c r="M10" s="13">
        <f t="shared" si="4"/>
        <v>0.51</v>
      </c>
      <c r="N10" s="13">
        <f t="shared" si="4"/>
        <v>0.51</v>
      </c>
    </row>
    <row r="11" spans="1:14" ht="6" customHeight="1" x14ac:dyDescent="0.3"/>
    <row r="12" spans="1:14" ht="27" customHeight="1" x14ac:dyDescent="0.3">
      <c r="A12" s="14" t="s">
        <v>9</v>
      </c>
      <c r="B12" s="15">
        <f t="shared" ref="B12:M12" si="5">ROUND(SUM(B13,B19),2)</f>
        <v>152283.15</v>
      </c>
      <c r="C12" s="15">
        <f t="shared" si="5"/>
        <v>153402.54999999999</v>
      </c>
      <c r="D12" s="15">
        <f t="shared" si="5"/>
        <v>154242.1</v>
      </c>
      <c r="E12" s="15">
        <f t="shared" si="5"/>
        <v>155081.65</v>
      </c>
      <c r="F12" s="15">
        <f t="shared" si="5"/>
        <v>155921.20000000001</v>
      </c>
      <c r="G12" s="15">
        <f t="shared" si="5"/>
        <v>156760.75</v>
      </c>
      <c r="H12" s="15">
        <f t="shared" si="5"/>
        <v>157600.29999999999</v>
      </c>
      <c r="I12" s="15">
        <f t="shared" si="5"/>
        <v>158439.85</v>
      </c>
      <c r="J12" s="15">
        <f t="shared" si="5"/>
        <v>159279.4</v>
      </c>
      <c r="K12" s="15">
        <f t="shared" si="5"/>
        <v>160118.95000000001</v>
      </c>
      <c r="L12" s="15">
        <f t="shared" si="5"/>
        <v>160958.5</v>
      </c>
      <c r="M12" s="15">
        <f t="shared" si="5"/>
        <v>161798.04999999999</v>
      </c>
      <c r="N12" s="15">
        <f t="shared" ref="N12:N40" si="6">ROUND(SUM(B12:M12),2)</f>
        <v>1885886.45</v>
      </c>
    </row>
    <row r="13" spans="1:14" ht="21" customHeight="1" x14ac:dyDescent="0.3">
      <c r="A13" s="16" t="s">
        <v>10</v>
      </c>
      <c r="B13" s="17">
        <f t="shared" ref="B13:M13" si="7">B14+B15+B16+B17+B18</f>
        <v>83675.149999999994</v>
      </c>
      <c r="C13" s="17">
        <f t="shared" si="7"/>
        <v>84794.55</v>
      </c>
      <c r="D13" s="17">
        <f t="shared" si="7"/>
        <v>85634.1</v>
      </c>
      <c r="E13" s="17">
        <f t="shared" si="7"/>
        <v>86473.65</v>
      </c>
      <c r="F13" s="17">
        <f t="shared" si="7"/>
        <v>87313.2</v>
      </c>
      <c r="G13" s="17">
        <f t="shared" si="7"/>
        <v>88152.75</v>
      </c>
      <c r="H13" s="17">
        <f t="shared" si="7"/>
        <v>88992.3</v>
      </c>
      <c r="I13" s="17">
        <f t="shared" si="7"/>
        <v>89831.85</v>
      </c>
      <c r="J13" s="17">
        <f t="shared" si="7"/>
        <v>90671.4</v>
      </c>
      <c r="K13" s="17">
        <f t="shared" si="7"/>
        <v>91510.95</v>
      </c>
      <c r="L13" s="17">
        <f t="shared" si="7"/>
        <v>92350.5</v>
      </c>
      <c r="M13" s="17">
        <f t="shared" si="7"/>
        <v>93190.05</v>
      </c>
      <c r="N13" s="18">
        <f t="shared" si="6"/>
        <v>1062590.45</v>
      </c>
    </row>
    <row r="14" spans="1:14" ht="14.4" x14ac:dyDescent="0.3">
      <c r="A14" s="8" t="s">
        <v>11</v>
      </c>
      <c r="B14" s="10">
        <f>B5*Dados!$E$1</f>
        <v>8925.15</v>
      </c>
      <c r="C14" s="10">
        <f>C5*Dados!$E$1</f>
        <v>9044.5500000000011</v>
      </c>
      <c r="D14" s="10">
        <f>D5*Dados!$E$1</f>
        <v>9134.1</v>
      </c>
      <c r="E14" s="10">
        <f>E5*Dados!$E$1</f>
        <v>9223.65</v>
      </c>
      <c r="F14" s="10">
        <f>F5*Dados!$E$1</f>
        <v>9313.2000000000007</v>
      </c>
      <c r="G14" s="10">
        <f>G5*Dados!$E$1</f>
        <v>9402.75</v>
      </c>
      <c r="H14" s="10">
        <f>H5*Dados!$E$1</f>
        <v>9492.3000000000011</v>
      </c>
      <c r="I14" s="10">
        <f>I5*Dados!$E$1</f>
        <v>9581.85</v>
      </c>
      <c r="J14" s="10">
        <f>J5*Dados!$E$1</f>
        <v>9671.4</v>
      </c>
      <c r="K14" s="10">
        <f>K5*Dados!$E$1</f>
        <v>9760.9500000000007</v>
      </c>
      <c r="L14" s="10">
        <f>L5*Dados!$E$1</f>
        <v>9850.5</v>
      </c>
      <c r="M14" s="10">
        <f>M5*Dados!$E$1</f>
        <v>9940.0500000000011</v>
      </c>
      <c r="N14" s="10">
        <f t="shared" si="6"/>
        <v>113340.45</v>
      </c>
    </row>
    <row r="15" spans="1:14" ht="14.4" x14ac:dyDescent="0.3">
      <c r="A15" s="19" t="s">
        <v>12</v>
      </c>
      <c r="B15" s="10">
        <f t="shared" ref="B15:M15" si="8">10*B2</f>
        <v>2990</v>
      </c>
      <c r="C15" s="10">
        <f t="shared" si="8"/>
        <v>3030</v>
      </c>
      <c r="D15" s="10">
        <f t="shared" si="8"/>
        <v>3060</v>
      </c>
      <c r="E15" s="10">
        <f t="shared" si="8"/>
        <v>3090</v>
      </c>
      <c r="F15" s="10">
        <f t="shared" si="8"/>
        <v>3120</v>
      </c>
      <c r="G15" s="10">
        <f t="shared" si="8"/>
        <v>3150</v>
      </c>
      <c r="H15" s="10">
        <f t="shared" si="8"/>
        <v>3180</v>
      </c>
      <c r="I15" s="10">
        <f t="shared" si="8"/>
        <v>3210</v>
      </c>
      <c r="J15" s="10">
        <f t="shared" si="8"/>
        <v>3240</v>
      </c>
      <c r="K15" s="10">
        <f t="shared" si="8"/>
        <v>3270</v>
      </c>
      <c r="L15" s="10">
        <f t="shared" si="8"/>
        <v>3300</v>
      </c>
      <c r="M15" s="10">
        <f t="shared" si="8"/>
        <v>3330</v>
      </c>
      <c r="N15" s="10">
        <f t="shared" si="6"/>
        <v>37970</v>
      </c>
    </row>
    <row r="16" spans="1:14" ht="14.4" x14ac:dyDescent="0.3">
      <c r="A16" s="19" t="s">
        <v>13</v>
      </c>
      <c r="B16" s="10">
        <f t="shared" ref="B16:M16" si="9">200*B2</f>
        <v>59800</v>
      </c>
      <c r="C16" s="10">
        <f t="shared" si="9"/>
        <v>60600</v>
      </c>
      <c r="D16" s="10">
        <f t="shared" si="9"/>
        <v>61200</v>
      </c>
      <c r="E16" s="10">
        <f t="shared" si="9"/>
        <v>61800</v>
      </c>
      <c r="F16" s="10">
        <f t="shared" si="9"/>
        <v>62400</v>
      </c>
      <c r="G16" s="10">
        <f t="shared" si="9"/>
        <v>63000</v>
      </c>
      <c r="H16" s="10">
        <f t="shared" si="9"/>
        <v>63600</v>
      </c>
      <c r="I16" s="10">
        <f t="shared" si="9"/>
        <v>64200</v>
      </c>
      <c r="J16" s="10">
        <f t="shared" si="9"/>
        <v>64800</v>
      </c>
      <c r="K16" s="10">
        <f t="shared" si="9"/>
        <v>65400</v>
      </c>
      <c r="L16" s="10">
        <f t="shared" si="9"/>
        <v>66000</v>
      </c>
      <c r="M16" s="10">
        <f t="shared" si="9"/>
        <v>66600</v>
      </c>
      <c r="N16" s="10">
        <f t="shared" si="6"/>
        <v>759400</v>
      </c>
    </row>
    <row r="17" spans="1:14" ht="14.4" x14ac:dyDescent="0.3">
      <c r="A17" s="19" t="s">
        <v>14</v>
      </c>
      <c r="B17" s="10">
        <f t="shared" ref="B17:M17" si="10">10*B2</f>
        <v>2990</v>
      </c>
      <c r="C17" s="10">
        <f t="shared" si="10"/>
        <v>3030</v>
      </c>
      <c r="D17" s="10">
        <f t="shared" si="10"/>
        <v>3060</v>
      </c>
      <c r="E17" s="10">
        <f t="shared" si="10"/>
        <v>3090</v>
      </c>
      <c r="F17" s="10">
        <f t="shared" si="10"/>
        <v>3120</v>
      </c>
      <c r="G17" s="10">
        <f t="shared" si="10"/>
        <v>3150</v>
      </c>
      <c r="H17" s="10">
        <f t="shared" si="10"/>
        <v>3180</v>
      </c>
      <c r="I17" s="10">
        <f t="shared" si="10"/>
        <v>3210</v>
      </c>
      <c r="J17" s="10">
        <f t="shared" si="10"/>
        <v>3240</v>
      </c>
      <c r="K17" s="10">
        <f t="shared" si="10"/>
        <v>3270</v>
      </c>
      <c r="L17" s="10">
        <f t="shared" si="10"/>
        <v>3300</v>
      </c>
      <c r="M17" s="10">
        <f t="shared" si="10"/>
        <v>3330</v>
      </c>
      <c r="N17" s="10">
        <f t="shared" si="6"/>
        <v>37970</v>
      </c>
    </row>
    <row r="18" spans="1:14" ht="14.4" x14ac:dyDescent="0.3">
      <c r="A18" s="19" t="s">
        <v>15</v>
      </c>
      <c r="B18" s="10">
        <f t="shared" ref="B18:M18" si="11">30*B2</f>
        <v>8970</v>
      </c>
      <c r="C18" s="10">
        <f t="shared" si="11"/>
        <v>9090</v>
      </c>
      <c r="D18" s="10">
        <f t="shared" si="11"/>
        <v>9180</v>
      </c>
      <c r="E18" s="10">
        <f t="shared" si="11"/>
        <v>9270</v>
      </c>
      <c r="F18" s="10">
        <f t="shared" si="11"/>
        <v>9360</v>
      </c>
      <c r="G18" s="10">
        <f t="shared" si="11"/>
        <v>9450</v>
      </c>
      <c r="H18" s="10">
        <f t="shared" si="11"/>
        <v>9540</v>
      </c>
      <c r="I18" s="10">
        <f t="shared" si="11"/>
        <v>9630</v>
      </c>
      <c r="J18" s="10">
        <f t="shared" si="11"/>
        <v>9720</v>
      </c>
      <c r="K18" s="10">
        <f t="shared" si="11"/>
        <v>9810</v>
      </c>
      <c r="L18" s="10">
        <f t="shared" si="11"/>
        <v>9900</v>
      </c>
      <c r="M18" s="10">
        <f t="shared" si="11"/>
        <v>9990</v>
      </c>
      <c r="N18" s="10">
        <f t="shared" si="6"/>
        <v>113910</v>
      </c>
    </row>
    <row r="19" spans="1:14" ht="21" customHeight="1" x14ac:dyDescent="0.3">
      <c r="A19" s="16" t="s">
        <v>16</v>
      </c>
      <c r="B19" s="17">
        <f t="shared" ref="B19:M19" si="12">SUM(B20:B40)</f>
        <v>68608</v>
      </c>
      <c r="C19" s="17">
        <f t="shared" si="12"/>
        <v>68608</v>
      </c>
      <c r="D19" s="17">
        <f t="shared" si="12"/>
        <v>68608</v>
      </c>
      <c r="E19" s="17">
        <f t="shared" si="12"/>
        <v>68608</v>
      </c>
      <c r="F19" s="17">
        <f t="shared" si="12"/>
        <v>68608</v>
      </c>
      <c r="G19" s="17">
        <f t="shared" si="12"/>
        <v>68608</v>
      </c>
      <c r="H19" s="17">
        <f t="shared" si="12"/>
        <v>68608</v>
      </c>
      <c r="I19" s="17">
        <f t="shared" si="12"/>
        <v>68608</v>
      </c>
      <c r="J19" s="17">
        <f t="shared" si="12"/>
        <v>68608</v>
      </c>
      <c r="K19" s="17">
        <f t="shared" si="12"/>
        <v>68608</v>
      </c>
      <c r="L19" s="17">
        <f t="shared" si="12"/>
        <v>68608</v>
      </c>
      <c r="M19" s="17">
        <f t="shared" si="12"/>
        <v>68608</v>
      </c>
      <c r="N19" s="18">
        <f t="shared" si="6"/>
        <v>823296</v>
      </c>
    </row>
    <row r="20" spans="1:14" ht="14.4" x14ac:dyDescent="0.3">
      <c r="A20" s="19" t="s">
        <v>17</v>
      </c>
      <c r="B20" s="9">
        <v>13320</v>
      </c>
      <c r="C20" s="9">
        <v>13320</v>
      </c>
      <c r="D20" s="9">
        <v>13320</v>
      </c>
      <c r="E20" s="9">
        <v>13320</v>
      </c>
      <c r="F20" s="9">
        <v>13320</v>
      </c>
      <c r="G20" s="9">
        <v>13320</v>
      </c>
      <c r="H20" s="9">
        <v>13320</v>
      </c>
      <c r="I20" s="9">
        <v>13320</v>
      </c>
      <c r="J20" s="9">
        <v>13320</v>
      </c>
      <c r="K20" s="9">
        <v>13320</v>
      </c>
      <c r="L20" s="9">
        <v>13320</v>
      </c>
      <c r="M20" s="9">
        <v>13320</v>
      </c>
      <c r="N20" s="10">
        <f t="shared" si="6"/>
        <v>159840</v>
      </c>
    </row>
    <row r="21" spans="1:14" ht="14.4" x14ac:dyDescent="0.3">
      <c r="A21" s="19" t="s">
        <v>18</v>
      </c>
      <c r="B21" s="9">
        <v>8880</v>
      </c>
      <c r="C21" s="9">
        <v>8880</v>
      </c>
      <c r="D21" s="9">
        <v>8880</v>
      </c>
      <c r="E21" s="9">
        <v>8880</v>
      </c>
      <c r="F21" s="9">
        <v>8880</v>
      </c>
      <c r="G21" s="9">
        <v>8880</v>
      </c>
      <c r="H21" s="9">
        <v>8880</v>
      </c>
      <c r="I21" s="9">
        <v>8880</v>
      </c>
      <c r="J21" s="9">
        <v>8880</v>
      </c>
      <c r="K21" s="9">
        <v>8880</v>
      </c>
      <c r="L21" s="9">
        <v>8880</v>
      </c>
      <c r="M21" s="9">
        <v>8880</v>
      </c>
      <c r="N21" s="10">
        <f t="shared" si="6"/>
        <v>106560</v>
      </c>
    </row>
    <row r="22" spans="1:14" ht="14.4" x14ac:dyDescent="0.3">
      <c r="A22" s="19" t="s">
        <v>18</v>
      </c>
      <c r="B22" s="9">
        <v>8880</v>
      </c>
      <c r="C22" s="9">
        <v>8880</v>
      </c>
      <c r="D22" s="9">
        <v>8880</v>
      </c>
      <c r="E22" s="9">
        <v>8880</v>
      </c>
      <c r="F22" s="9">
        <v>8880</v>
      </c>
      <c r="G22" s="9">
        <v>8880</v>
      </c>
      <c r="H22" s="9">
        <v>8880</v>
      </c>
      <c r="I22" s="9">
        <v>8880</v>
      </c>
      <c r="J22" s="9">
        <v>8880</v>
      </c>
      <c r="K22" s="9">
        <v>8880</v>
      </c>
      <c r="L22" s="9">
        <v>8880</v>
      </c>
      <c r="M22" s="9">
        <v>8880</v>
      </c>
      <c r="N22" s="10">
        <f t="shared" si="6"/>
        <v>106560</v>
      </c>
    </row>
    <row r="23" spans="1:14" ht="14.4" x14ac:dyDescent="0.3">
      <c r="A23" s="19" t="s">
        <v>18</v>
      </c>
      <c r="B23" s="9">
        <v>8880</v>
      </c>
      <c r="C23" s="9">
        <v>8880</v>
      </c>
      <c r="D23" s="9">
        <v>8880</v>
      </c>
      <c r="E23" s="9">
        <v>8880</v>
      </c>
      <c r="F23" s="9">
        <v>8880</v>
      </c>
      <c r="G23" s="9">
        <v>8880</v>
      </c>
      <c r="H23" s="9">
        <v>8880</v>
      </c>
      <c r="I23" s="9">
        <v>8880</v>
      </c>
      <c r="J23" s="9">
        <v>8880</v>
      </c>
      <c r="K23" s="9">
        <v>8880</v>
      </c>
      <c r="L23" s="9">
        <v>8880</v>
      </c>
      <c r="M23" s="9">
        <v>8880</v>
      </c>
      <c r="N23" s="10">
        <f t="shared" si="6"/>
        <v>106560</v>
      </c>
    </row>
    <row r="24" spans="1:14" ht="14.4" x14ac:dyDescent="0.3">
      <c r="A24" s="8" t="s">
        <v>19</v>
      </c>
      <c r="B24" s="9">
        <f>Dados!$E$4*Dados!$F$4</f>
        <v>1000</v>
      </c>
      <c r="C24" s="9">
        <f>Dados!$E$4*Dados!$F$4</f>
        <v>1000</v>
      </c>
      <c r="D24" s="9">
        <f>Dados!$E$4*Dados!$F$4</f>
        <v>1000</v>
      </c>
      <c r="E24" s="9">
        <f>Dados!$E$4*Dados!$F$4</f>
        <v>1000</v>
      </c>
      <c r="F24" s="9">
        <f>Dados!$E$4*Dados!$F$4</f>
        <v>1000</v>
      </c>
      <c r="G24" s="9">
        <f>Dados!$E$4*Dados!$F$4</f>
        <v>1000</v>
      </c>
      <c r="H24" s="9">
        <f>Dados!$E$4*Dados!$F$4</f>
        <v>1000</v>
      </c>
      <c r="I24" s="9">
        <f>Dados!$E$4*Dados!$F$4</f>
        <v>1000</v>
      </c>
      <c r="J24" s="9">
        <f>Dados!$E$4*Dados!$F$4</f>
        <v>1000</v>
      </c>
      <c r="K24" s="9">
        <f>Dados!$E$4*Dados!$F$4</f>
        <v>1000</v>
      </c>
      <c r="L24" s="9">
        <f>Dados!$E$4*Dados!$F$4</f>
        <v>1000</v>
      </c>
      <c r="M24" s="9">
        <f>Dados!$E$4*Dados!$F$4</f>
        <v>1000</v>
      </c>
      <c r="N24" s="10">
        <f t="shared" si="6"/>
        <v>12000</v>
      </c>
    </row>
    <row r="25" spans="1:14" ht="14.4" x14ac:dyDescent="0.3">
      <c r="A25" s="8" t="s">
        <v>20</v>
      </c>
      <c r="B25" s="9">
        <f>Dados!$E$5*Dados!$F$5</f>
        <v>2000</v>
      </c>
      <c r="C25" s="9">
        <f>Dados!$E$5*Dados!$F$5</f>
        <v>2000</v>
      </c>
      <c r="D25" s="9">
        <f>Dados!$E$5*Dados!$F$5</f>
        <v>2000</v>
      </c>
      <c r="E25" s="9">
        <f>Dados!$E$5*Dados!$F$5</f>
        <v>2000</v>
      </c>
      <c r="F25" s="9">
        <f>Dados!$E$5*Dados!$F$5</f>
        <v>2000</v>
      </c>
      <c r="G25" s="9">
        <f>Dados!$E$5*Dados!$F$5</f>
        <v>2000</v>
      </c>
      <c r="H25" s="9">
        <f>Dados!$E$5*Dados!$F$5</f>
        <v>2000</v>
      </c>
      <c r="I25" s="9">
        <f>Dados!$E$5*Dados!$F$5</f>
        <v>2000</v>
      </c>
      <c r="J25" s="9">
        <f>Dados!$E$5*Dados!$F$5</f>
        <v>2000</v>
      </c>
      <c r="K25" s="9">
        <f>Dados!$E$5*Dados!$F$5</f>
        <v>2000</v>
      </c>
      <c r="L25" s="9">
        <f>Dados!$E$5*Dados!$F$5</f>
        <v>2000</v>
      </c>
      <c r="M25" s="9">
        <f>Dados!$E$5*Dados!$F$5</f>
        <v>2000</v>
      </c>
      <c r="N25" s="10">
        <f t="shared" si="6"/>
        <v>24000</v>
      </c>
    </row>
    <row r="26" spans="1:14" ht="14.4" x14ac:dyDescent="0.3">
      <c r="A26" s="8" t="s">
        <v>21</v>
      </c>
      <c r="B26" s="9">
        <f>Dados!$E$6*Dados!$F$6</f>
        <v>2000</v>
      </c>
      <c r="C26" s="9">
        <f>Dados!$E$6*Dados!$F$6</f>
        <v>2000</v>
      </c>
      <c r="D26" s="9">
        <f>Dados!$E$6*Dados!$F$6</f>
        <v>2000</v>
      </c>
      <c r="E26" s="9">
        <f>Dados!$E$6*Dados!$F$6</f>
        <v>2000</v>
      </c>
      <c r="F26" s="9">
        <f>Dados!$E$6*Dados!$F$6</f>
        <v>2000</v>
      </c>
      <c r="G26" s="9">
        <f>Dados!$E$6*Dados!$F$6</f>
        <v>2000</v>
      </c>
      <c r="H26" s="9">
        <f>Dados!$E$6*Dados!$F$6</f>
        <v>2000</v>
      </c>
      <c r="I26" s="9">
        <f>Dados!$E$6*Dados!$F$6</f>
        <v>2000</v>
      </c>
      <c r="J26" s="9">
        <f>Dados!$E$6*Dados!$F$6</f>
        <v>2000</v>
      </c>
      <c r="K26" s="9">
        <f>Dados!$E$6*Dados!$F$6</f>
        <v>2000</v>
      </c>
      <c r="L26" s="9">
        <f>Dados!$E$6*Dados!$F$6</f>
        <v>2000</v>
      </c>
      <c r="M26" s="9">
        <f>Dados!$E$6*Dados!$F$6</f>
        <v>2000</v>
      </c>
      <c r="N26" s="10">
        <f t="shared" si="6"/>
        <v>24000</v>
      </c>
    </row>
    <row r="27" spans="1:14" ht="14.4" x14ac:dyDescent="0.3">
      <c r="A27" s="8" t="s">
        <v>22</v>
      </c>
      <c r="B27" s="9">
        <f>Dados!$E$7*Dados!$F$7</f>
        <v>2000</v>
      </c>
      <c r="C27" s="9">
        <f>Dados!$E$7*Dados!$F$7</f>
        <v>2000</v>
      </c>
      <c r="D27" s="9">
        <f>Dados!$E$7*Dados!$F$7</f>
        <v>2000</v>
      </c>
      <c r="E27" s="9">
        <f>Dados!$E$7*Dados!$F$7</f>
        <v>2000</v>
      </c>
      <c r="F27" s="9">
        <f>Dados!$E$7*Dados!$F$7</f>
        <v>2000</v>
      </c>
      <c r="G27" s="9">
        <f>Dados!$E$7*Dados!$F$7</f>
        <v>2000</v>
      </c>
      <c r="H27" s="9">
        <f>Dados!$E$7*Dados!$F$7</f>
        <v>2000</v>
      </c>
      <c r="I27" s="9">
        <f>Dados!$E$7*Dados!$F$7</f>
        <v>2000</v>
      </c>
      <c r="J27" s="9">
        <f>Dados!$E$7*Dados!$F$7</f>
        <v>2000</v>
      </c>
      <c r="K27" s="9">
        <f>Dados!$E$7*Dados!$F$7</f>
        <v>2000</v>
      </c>
      <c r="L27" s="9">
        <f>Dados!$E$7*Dados!$F$7</f>
        <v>2000</v>
      </c>
      <c r="M27" s="9">
        <f>Dados!$E$7*Dados!$F$7</f>
        <v>2000</v>
      </c>
      <c r="N27" s="10">
        <f t="shared" si="6"/>
        <v>24000</v>
      </c>
    </row>
    <row r="28" spans="1:14" ht="14.4" x14ac:dyDescent="0.3">
      <c r="A28" s="8" t="s">
        <v>23</v>
      </c>
      <c r="B28" s="9">
        <f>Dados!$E$8*Dados!$F$8</f>
        <v>3000</v>
      </c>
      <c r="C28" s="9">
        <f>Dados!$E$8*Dados!$F$8</f>
        <v>3000</v>
      </c>
      <c r="D28" s="9">
        <f>Dados!$E$8*Dados!$F$8</f>
        <v>3000</v>
      </c>
      <c r="E28" s="9">
        <f>Dados!$E$8*Dados!$F$8</f>
        <v>3000</v>
      </c>
      <c r="F28" s="9">
        <f>Dados!$E$8*Dados!$F$8</f>
        <v>3000</v>
      </c>
      <c r="G28" s="9">
        <f>Dados!$E$8*Dados!$F$8</f>
        <v>3000</v>
      </c>
      <c r="H28" s="9">
        <f>Dados!$E$8*Dados!$F$8</f>
        <v>3000</v>
      </c>
      <c r="I28" s="9">
        <f>Dados!$E$8*Dados!$F$8</f>
        <v>3000</v>
      </c>
      <c r="J28" s="9">
        <f>Dados!$E$8*Dados!$F$8</f>
        <v>3000</v>
      </c>
      <c r="K28" s="9">
        <f>Dados!$E$8*Dados!$F$8</f>
        <v>3000</v>
      </c>
      <c r="L28" s="9">
        <f>Dados!$E$8*Dados!$F$8</f>
        <v>3000</v>
      </c>
      <c r="M28" s="9">
        <f>Dados!$E$8*Dados!$F$8</f>
        <v>3000</v>
      </c>
      <c r="N28" s="10">
        <f t="shared" si="6"/>
        <v>36000</v>
      </c>
    </row>
    <row r="29" spans="1:14" ht="14.4" x14ac:dyDescent="0.3">
      <c r="A29" s="8" t="s">
        <v>24</v>
      </c>
      <c r="B29" s="9">
        <f>Dados!$E$9*Dados!$F$9</f>
        <v>0</v>
      </c>
      <c r="C29" s="9">
        <f>Dados!$E$9*Dados!$F$9</f>
        <v>0</v>
      </c>
      <c r="D29" s="9">
        <f>Dados!$E$9*Dados!$F$9</f>
        <v>0</v>
      </c>
      <c r="E29" s="9">
        <f>Dados!$E$9*Dados!$F$9</f>
        <v>0</v>
      </c>
      <c r="F29" s="9">
        <f>Dados!$E$9*Dados!$F$9</f>
        <v>0</v>
      </c>
      <c r="G29" s="9">
        <f>Dados!$E$9*Dados!$F$9</f>
        <v>0</v>
      </c>
      <c r="H29" s="9">
        <f>Dados!$E$9*Dados!$F$9</f>
        <v>0</v>
      </c>
      <c r="I29" s="9">
        <f>Dados!$E$9*Dados!$F$9</f>
        <v>0</v>
      </c>
      <c r="J29" s="9">
        <f>Dados!$E$9*Dados!$F$9</f>
        <v>0</v>
      </c>
      <c r="K29" s="9">
        <f>Dados!$E$9*Dados!$F$9</f>
        <v>0</v>
      </c>
      <c r="L29" s="9">
        <f>Dados!$E$9*Dados!$F$9</f>
        <v>0</v>
      </c>
      <c r="M29" s="9">
        <f>Dados!$E$9*Dados!$F$9</f>
        <v>0</v>
      </c>
      <c r="N29" s="10">
        <f t="shared" si="6"/>
        <v>0</v>
      </c>
    </row>
    <row r="30" spans="1:14" ht="14.4" x14ac:dyDescent="0.3">
      <c r="A30" s="19" t="s">
        <v>25</v>
      </c>
      <c r="B30" s="9">
        <f>Dados!$E$10*Dados!$F$10</f>
        <v>300</v>
      </c>
      <c r="C30" s="9">
        <f>Dados!$E$10*Dados!$F$10</f>
        <v>300</v>
      </c>
      <c r="D30" s="9">
        <f>Dados!$E$10*Dados!$F$10</f>
        <v>300</v>
      </c>
      <c r="E30" s="9">
        <f>Dados!$E$10*Dados!$F$10</f>
        <v>300</v>
      </c>
      <c r="F30" s="9">
        <f>Dados!$E$10*Dados!$F$10</f>
        <v>300</v>
      </c>
      <c r="G30" s="9">
        <f>Dados!$E$10*Dados!$F$10</f>
        <v>300</v>
      </c>
      <c r="H30" s="9">
        <f>Dados!$E$10*Dados!$F$10</f>
        <v>300</v>
      </c>
      <c r="I30" s="9">
        <f>Dados!$E$10*Dados!$F$10</f>
        <v>300</v>
      </c>
      <c r="J30" s="9">
        <f>Dados!$E$10*Dados!$F$10</f>
        <v>300</v>
      </c>
      <c r="K30" s="9">
        <f>Dados!$E$10*Dados!$F$10</f>
        <v>300</v>
      </c>
      <c r="L30" s="9">
        <f>Dados!$E$10*Dados!$F$10</f>
        <v>300</v>
      </c>
      <c r="M30" s="9">
        <f>Dados!$E$10*Dados!$F$10</f>
        <v>300</v>
      </c>
      <c r="N30" s="10">
        <f t="shared" si="6"/>
        <v>3600</v>
      </c>
    </row>
    <row r="31" spans="1:14" ht="14.4" x14ac:dyDescent="0.3">
      <c r="A31" s="19" t="s">
        <v>26</v>
      </c>
      <c r="B31" s="9">
        <v>500</v>
      </c>
      <c r="C31" s="9">
        <v>500</v>
      </c>
      <c r="D31" s="9">
        <v>500</v>
      </c>
      <c r="E31" s="9">
        <v>500</v>
      </c>
      <c r="F31" s="9">
        <v>500</v>
      </c>
      <c r="G31" s="9">
        <v>500</v>
      </c>
      <c r="H31" s="9">
        <v>500</v>
      </c>
      <c r="I31" s="9">
        <v>500</v>
      </c>
      <c r="J31" s="9">
        <v>500</v>
      </c>
      <c r="K31" s="9">
        <v>500</v>
      </c>
      <c r="L31" s="9">
        <v>500</v>
      </c>
      <c r="M31" s="9">
        <v>500</v>
      </c>
      <c r="N31" s="10">
        <f t="shared" si="6"/>
        <v>6000</v>
      </c>
    </row>
    <row r="32" spans="1:14" ht="14.4" x14ac:dyDescent="0.3">
      <c r="A32" s="19" t="s">
        <v>27</v>
      </c>
      <c r="B32" s="9">
        <v>1000</v>
      </c>
      <c r="C32" s="9">
        <v>1000</v>
      </c>
      <c r="D32" s="9">
        <v>1000</v>
      </c>
      <c r="E32" s="9">
        <v>1000</v>
      </c>
      <c r="F32" s="9">
        <v>1000</v>
      </c>
      <c r="G32" s="9">
        <v>1000</v>
      </c>
      <c r="H32" s="9">
        <v>1000</v>
      </c>
      <c r="I32" s="9">
        <v>1000</v>
      </c>
      <c r="J32" s="9">
        <v>1000</v>
      </c>
      <c r="K32" s="9">
        <v>1000</v>
      </c>
      <c r="L32" s="9">
        <v>1000</v>
      </c>
      <c r="M32" s="9">
        <v>1000</v>
      </c>
      <c r="N32" s="10">
        <f t="shared" si="6"/>
        <v>12000</v>
      </c>
    </row>
    <row r="33" spans="1:14" ht="14.4" x14ac:dyDescent="0.3">
      <c r="A33" s="19" t="s">
        <v>28</v>
      </c>
      <c r="B33" s="9">
        <v>500</v>
      </c>
      <c r="C33" s="9">
        <v>500</v>
      </c>
      <c r="D33" s="9">
        <v>500</v>
      </c>
      <c r="E33" s="9">
        <v>500</v>
      </c>
      <c r="F33" s="9">
        <v>500</v>
      </c>
      <c r="G33" s="9">
        <v>500</v>
      </c>
      <c r="H33" s="9">
        <v>500</v>
      </c>
      <c r="I33" s="9">
        <v>500</v>
      </c>
      <c r="J33" s="9">
        <v>500</v>
      </c>
      <c r="K33" s="9">
        <v>500</v>
      </c>
      <c r="L33" s="9">
        <v>500</v>
      </c>
      <c r="M33" s="9">
        <v>500</v>
      </c>
      <c r="N33" s="10">
        <f t="shared" si="6"/>
        <v>6000</v>
      </c>
    </row>
    <row r="34" spans="1:14" ht="14.4" x14ac:dyDescent="0.3">
      <c r="A34" s="19" t="s">
        <v>29</v>
      </c>
      <c r="B34" s="9">
        <v>500</v>
      </c>
      <c r="C34" s="9">
        <v>500</v>
      </c>
      <c r="D34" s="9">
        <v>500</v>
      </c>
      <c r="E34" s="9">
        <v>500</v>
      </c>
      <c r="F34" s="9">
        <v>500</v>
      </c>
      <c r="G34" s="9">
        <v>500</v>
      </c>
      <c r="H34" s="9">
        <v>500</v>
      </c>
      <c r="I34" s="9">
        <v>500</v>
      </c>
      <c r="J34" s="9">
        <v>500</v>
      </c>
      <c r="K34" s="9">
        <v>500</v>
      </c>
      <c r="L34" s="9">
        <v>500</v>
      </c>
      <c r="M34" s="9">
        <v>500</v>
      </c>
      <c r="N34" s="10">
        <f t="shared" si="6"/>
        <v>6000</v>
      </c>
    </row>
    <row r="35" spans="1:14" ht="14.4" x14ac:dyDescent="0.3">
      <c r="A35" s="19" t="s">
        <v>30</v>
      </c>
      <c r="B35" s="9">
        <v>2000</v>
      </c>
      <c r="C35" s="9">
        <v>2000</v>
      </c>
      <c r="D35" s="9">
        <v>2000</v>
      </c>
      <c r="E35" s="9">
        <v>2000</v>
      </c>
      <c r="F35" s="9">
        <v>2000</v>
      </c>
      <c r="G35" s="9">
        <v>2000</v>
      </c>
      <c r="H35" s="9">
        <v>2000</v>
      </c>
      <c r="I35" s="9">
        <v>2000</v>
      </c>
      <c r="J35" s="9">
        <v>2000</v>
      </c>
      <c r="K35" s="9">
        <v>2000</v>
      </c>
      <c r="L35" s="9">
        <v>2000</v>
      </c>
      <c r="M35" s="9">
        <v>2000</v>
      </c>
      <c r="N35" s="10">
        <f t="shared" si="6"/>
        <v>24000</v>
      </c>
    </row>
    <row r="36" spans="1:14" ht="14.4" x14ac:dyDescent="0.3">
      <c r="A36" s="19" t="s">
        <v>31</v>
      </c>
      <c r="B36" s="9">
        <f>Dados!$E$11*Dados!$F$11</f>
        <v>600</v>
      </c>
      <c r="C36" s="9">
        <f>Dados!$E$11*Dados!$F$11</f>
        <v>600</v>
      </c>
      <c r="D36" s="9">
        <f>Dados!$E$11*Dados!$F$11</f>
        <v>600</v>
      </c>
      <c r="E36" s="9">
        <f>Dados!$E$11*Dados!$F$11</f>
        <v>600</v>
      </c>
      <c r="F36" s="9">
        <f>Dados!$E$11*Dados!$F$11</f>
        <v>600</v>
      </c>
      <c r="G36" s="9">
        <f>Dados!$E$11*Dados!$F$11</f>
        <v>600</v>
      </c>
      <c r="H36" s="9">
        <f>Dados!$E$11*Dados!$F$11</f>
        <v>600</v>
      </c>
      <c r="I36" s="9">
        <f>Dados!$E$11*Dados!$F$11</f>
        <v>600</v>
      </c>
      <c r="J36" s="9">
        <f>Dados!$E$11*Dados!$F$11</f>
        <v>600</v>
      </c>
      <c r="K36" s="9">
        <f>Dados!$E$11*Dados!$F$11</f>
        <v>600</v>
      </c>
      <c r="L36" s="9">
        <f>Dados!$E$11*Dados!$F$11</f>
        <v>600</v>
      </c>
      <c r="M36" s="9">
        <f>Dados!$E$11*Dados!$F$11</f>
        <v>600</v>
      </c>
      <c r="N36" s="10">
        <f t="shared" si="6"/>
        <v>7200</v>
      </c>
    </row>
    <row r="37" spans="1:14" ht="14.4" x14ac:dyDescent="0.3">
      <c r="A37" s="19" t="s">
        <v>32</v>
      </c>
      <c r="B37" s="9">
        <f>Dados!$E$12*Dados!$F$12</f>
        <v>1200</v>
      </c>
      <c r="C37" s="9">
        <f>Dados!$E$12*Dados!$F$12</f>
        <v>1200</v>
      </c>
      <c r="D37" s="9">
        <f>Dados!$E$12*Dados!$F$12</f>
        <v>1200</v>
      </c>
      <c r="E37" s="9">
        <f>Dados!$E$12*Dados!$F$12</f>
        <v>1200</v>
      </c>
      <c r="F37" s="9">
        <f>Dados!$E$12*Dados!$F$12</f>
        <v>1200</v>
      </c>
      <c r="G37" s="9">
        <f>Dados!$E$12*Dados!$F$12</f>
        <v>1200</v>
      </c>
      <c r="H37" s="9">
        <f>Dados!$E$12*Dados!$F$12</f>
        <v>1200</v>
      </c>
      <c r="I37" s="9">
        <f>Dados!$E$12*Dados!$F$12</f>
        <v>1200</v>
      </c>
      <c r="J37" s="9">
        <f>Dados!$E$12*Dados!$F$12</f>
        <v>1200</v>
      </c>
      <c r="K37" s="9">
        <f>Dados!$E$12*Dados!$F$12</f>
        <v>1200</v>
      </c>
      <c r="L37" s="9">
        <f>Dados!$E$12*Dados!$F$12</f>
        <v>1200</v>
      </c>
      <c r="M37" s="9">
        <f>Dados!$E$12*Dados!$F$12</f>
        <v>1200</v>
      </c>
      <c r="N37" s="10">
        <f t="shared" si="6"/>
        <v>14400</v>
      </c>
    </row>
    <row r="38" spans="1:14" ht="14.4" x14ac:dyDescent="0.3">
      <c r="A38" s="19" t="s">
        <v>33</v>
      </c>
      <c r="B38" s="9">
        <v>48</v>
      </c>
      <c r="C38" s="9">
        <v>48</v>
      </c>
      <c r="D38" s="9">
        <v>48</v>
      </c>
      <c r="E38" s="9">
        <v>48</v>
      </c>
      <c r="F38" s="9">
        <v>48</v>
      </c>
      <c r="G38" s="9">
        <v>48</v>
      </c>
      <c r="H38" s="9">
        <v>48</v>
      </c>
      <c r="I38" s="9">
        <v>48</v>
      </c>
      <c r="J38" s="9">
        <v>48</v>
      </c>
      <c r="K38" s="9">
        <v>48</v>
      </c>
      <c r="L38" s="9">
        <v>48</v>
      </c>
      <c r="M38" s="9">
        <v>48</v>
      </c>
      <c r="N38" s="10">
        <f t="shared" si="6"/>
        <v>576</v>
      </c>
    </row>
    <row r="39" spans="1:14" ht="14.4" x14ac:dyDescent="0.3">
      <c r="A39" s="19" t="s">
        <v>34</v>
      </c>
      <c r="B39" s="9">
        <v>2000</v>
      </c>
      <c r="C39" s="9">
        <v>2000</v>
      </c>
      <c r="D39" s="9">
        <v>2000</v>
      </c>
      <c r="E39" s="9">
        <v>2000</v>
      </c>
      <c r="F39" s="9">
        <v>2000</v>
      </c>
      <c r="G39" s="9">
        <v>2000</v>
      </c>
      <c r="H39" s="9">
        <v>2000</v>
      </c>
      <c r="I39" s="9">
        <v>2000</v>
      </c>
      <c r="J39" s="9">
        <v>2000</v>
      </c>
      <c r="K39" s="9">
        <v>2000</v>
      </c>
      <c r="L39" s="9">
        <v>2000</v>
      </c>
      <c r="M39" s="9">
        <v>2000</v>
      </c>
      <c r="N39" s="10">
        <f t="shared" si="6"/>
        <v>24000</v>
      </c>
    </row>
    <row r="40" spans="1:14" ht="14.4" x14ac:dyDescent="0.3">
      <c r="A40" s="8" t="s">
        <v>35</v>
      </c>
      <c r="B40" s="10">
        <f>Dados!$E$3</f>
        <v>10000</v>
      </c>
      <c r="C40" s="10">
        <f>Dados!$E$3</f>
        <v>10000</v>
      </c>
      <c r="D40" s="10">
        <f>Dados!$E$3</f>
        <v>10000</v>
      </c>
      <c r="E40" s="10">
        <f>Dados!$E$3</f>
        <v>10000</v>
      </c>
      <c r="F40" s="10">
        <f>Dados!$E$3</f>
        <v>10000</v>
      </c>
      <c r="G40" s="10">
        <f>Dados!$E$3</f>
        <v>10000</v>
      </c>
      <c r="H40" s="10">
        <f>Dados!$E$3</f>
        <v>10000</v>
      </c>
      <c r="I40" s="10">
        <f>Dados!$E$3</f>
        <v>10000</v>
      </c>
      <c r="J40" s="10">
        <f>Dados!$E$3</f>
        <v>10000</v>
      </c>
      <c r="K40" s="10">
        <f>Dados!$E$3</f>
        <v>10000</v>
      </c>
      <c r="L40" s="10">
        <f>Dados!$E$3</f>
        <v>10000</v>
      </c>
      <c r="M40" s="10">
        <f>Dados!$E$3</f>
        <v>10000</v>
      </c>
      <c r="N40" s="10">
        <f t="shared" si="6"/>
        <v>120000</v>
      </c>
    </row>
    <row r="41" spans="1:14" ht="27" customHeight="1" x14ac:dyDescent="0.3">
      <c r="A41" s="4" t="s">
        <v>36</v>
      </c>
      <c r="B41" s="5">
        <f>ROUND(B9-B19,2)</f>
        <v>57636.38</v>
      </c>
      <c r="C41" s="5">
        <f>ROUND(C9-C19,2)</f>
        <v>59325.27</v>
      </c>
      <c r="D41" s="5">
        <f>ROUND(D9-D19,2)</f>
        <v>60591.93</v>
      </c>
      <c r="E41" s="5">
        <f>ROUND(E9-E19,2)</f>
        <v>61858.6</v>
      </c>
      <c r="F41" s="5">
        <f>ROUND(F9-F19,2)</f>
        <v>63125.26</v>
      </c>
      <c r="G41" s="5">
        <f>ROUND(G9-G19,2)</f>
        <v>64391.93</v>
      </c>
      <c r="H41" s="5">
        <f>ROUND(H9-H19,2)</f>
        <v>65658.600000000006</v>
      </c>
      <c r="I41" s="5">
        <f>ROUND(I9-I19,2)</f>
        <v>66925.259999999995</v>
      </c>
      <c r="J41" s="5">
        <f>ROUND(J9-J19,2)</f>
        <v>68191.929999999993</v>
      </c>
      <c r="K41" s="5">
        <f>ROUND(K9-K19,2)</f>
        <v>69458.59</v>
      </c>
      <c r="L41" s="5">
        <f>ROUND(L9-L19,2)</f>
        <v>70725.259999999995</v>
      </c>
      <c r="M41" s="5">
        <f>ROUND(M9-M19,2)</f>
        <v>71991.929999999993</v>
      </c>
      <c r="N41" s="5">
        <f>ROUND(SUM(B41:M41),2)</f>
        <v>779880.94</v>
      </c>
    </row>
    <row r="42" spans="1:14" ht="14.4" x14ac:dyDescent="0.3">
      <c r="A42" s="6" t="s">
        <v>37</v>
      </c>
      <c r="B42" s="13">
        <f>B41/B8</f>
        <v>0.27456416536912182</v>
      </c>
      <c r="C42" s="13">
        <f>C41/C8</f>
        <v>0.27887876214552026</v>
      </c>
      <c r="D42" s="13">
        <f>D41/D8</f>
        <v>0.28204064987245597</v>
      </c>
      <c r="E42" s="13">
        <f>E41/E8</f>
        <v>0.28514118781684067</v>
      </c>
      <c r="F42" s="13">
        <f>F41/F8</f>
        <v>0.2881820543791111</v>
      </c>
      <c r="G42" s="13">
        <f>G41/G8</f>
        <v>0.29116504489115846</v>
      </c>
      <c r="H42" s="13">
        <f>H41/H8</f>
        <v>0.2940917525633559</v>
      </c>
      <c r="I42" s="13">
        <f>I41/I8</f>
        <v>0.29696371104681013</v>
      </c>
      <c r="J42" s="13">
        <f>J41/J8</f>
        <v>0.29978252907548852</v>
      </c>
      <c r="K42" s="13">
        <f>K41/K8</f>
        <v>0.30254958211418098</v>
      </c>
      <c r="L42" s="13">
        <f>L41/L8</f>
        <v>0.30526636825990733</v>
      </c>
      <c r="M42" s="13">
        <f>M41/M8</f>
        <v>0.30793420330390892</v>
      </c>
      <c r="N42" s="13">
        <f>AVERAGE(B42:M42)</f>
        <v>0.29221333423648838</v>
      </c>
    </row>
    <row r="46" spans="1:14" ht="14.4" x14ac:dyDescent="0.3">
      <c r="A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</row>
    <row r="47" spans="1:14" ht="14.4" x14ac:dyDescent="0.3">
      <c r="A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2"/>
    </row>
    <row r="48" spans="1:14" ht="14.4" x14ac:dyDescent="0.3">
      <c r="A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  <row r="49" spans="1:14" ht="14.4" x14ac:dyDescent="0.3">
      <c r="A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</row>
    <row r="50" spans="1:14" ht="14.4" x14ac:dyDescent="0.3">
      <c r="A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2"/>
    </row>
    <row r="51" spans="1:14" ht="14.4" x14ac:dyDescent="0.3">
      <c r="A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</row>
    <row r="52" spans="1:14" ht="14.4" x14ac:dyDescent="0.3">
      <c r="A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1:14" ht="14.4" x14ac:dyDescent="0.3">
      <c r="A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1:14" ht="14.4" x14ac:dyDescent="0.3">
      <c r="A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1:14" ht="14.4" x14ac:dyDescent="0.3">
      <c r="A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1:14" ht="14.4" x14ac:dyDescent="0.3">
      <c r="A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</row>
    <row r="57" spans="1:14" ht="14.4" x14ac:dyDescent="0.3">
      <c r="A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2"/>
    </row>
    <row r="58" spans="1:14" ht="14.4" x14ac:dyDescent="0.3">
      <c r="A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ht="14.4" x14ac:dyDescent="0.3">
      <c r="A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1:14" ht="14.4" x14ac:dyDescent="0.3">
      <c r="A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14.4" x14ac:dyDescent="0.3">
      <c r="A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</row>
    <row r="62" spans="1:14" ht="14.4" x14ac:dyDescent="0.3">
      <c r="A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ht="14.4" x14ac:dyDescent="0.3">
      <c r="A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1:14" ht="14.4" x14ac:dyDescent="0.3">
      <c r="A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 ht="14.4" x14ac:dyDescent="0.3">
      <c r="A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2"/>
    </row>
    <row r="66" spans="1:14" ht="14.4" x14ac:dyDescent="0.3">
      <c r="A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1:14" ht="14.4" x14ac:dyDescent="0.3">
      <c r="A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14.4" x14ac:dyDescent="0.3">
      <c r="A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1:14" ht="14.4" x14ac:dyDescent="0.3">
      <c r="A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</row>
    <row r="70" spans="1:14" ht="14.4" x14ac:dyDescent="0.3">
      <c r="A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ht="14.4" x14ac:dyDescent="0.3">
      <c r="A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2"/>
    </row>
    <row r="72" spans="1:14" ht="14.4" x14ac:dyDescent="0.3">
      <c r="A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</row>
    <row r="73" spans="1:14" ht="14.4" x14ac:dyDescent="0.3">
      <c r="A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2"/>
    </row>
    <row r="74" spans="1:14" ht="14.4" x14ac:dyDescent="0.3">
      <c r="A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14.4" x14ac:dyDescent="0.3">
      <c r="A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2"/>
    </row>
    <row r="76" spans="1:14" ht="14.4" x14ac:dyDescent="0.3">
      <c r="A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</row>
    <row r="77" spans="1:14" ht="14.4" x14ac:dyDescent="0.3">
      <c r="A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2"/>
    </row>
    <row r="78" spans="1:14" ht="14.4" x14ac:dyDescent="0.3">
      <c r="A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</row>
    <row r="79" spans="1:14" ht="14.4" x14ac:dyDescent="0.3">
      <c r="A79" s="20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</row>
    <row r="80" spans="1:14" ht="14.4" x14ac:dyDescent="0.3">
      <c r="A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</row>
    <row r="81" spans="1:14" ht="14.4" x14ac:dyDescent="0.3">
      <c r="A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2"/>
    </row>
    <row r="82" spans="1:14" ht="14.4" x14ac:dyDescent="0.3">
      <c r="A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</row>
    <row r="83" spans="1:14" ht="14.4" x14ac:dyDescent="0.3">
      <c r="A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2"/>
    </row>
    <row r="84" spans="1:14" ht="14.4" x14ac:dyDescent="0.3">
      <c r="A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 ht="14.4" x14ac:dyDescent="0.3">
      <c r="A85" s="20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2"/>
    </row>
    <row r="86" spans="1:14" ht="14.4" x14ac:dyDescent="0.3">
      <c r="A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14.4" x14ac:dyDescent="0.3">
      <c r="A87" s="20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2"/>
    </row>
    <row r="88" spans="1:14" ht="14.4" x14ac:dyDescent="0.3">
      <c r="A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ht="14.4" x14ac:dyDescent="0.3">
      <c r="A89" s="20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2"/>
    </row>
    <row r="90" spans="1:14" ht="14.4" x14ac:dyDescent="0.3">
      <c r="A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</row>
    <row r="91" spans="1:14" ht="14.4" x14ac:dyDescent="0.3">
      <c r="A91" s="20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2"/>
    </row>
    <row r="92" spans="1:14" ht="14.4" x14ac:dyDescent="0.3">
      <c r="A92" s="20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</row>
    <row r="93" spans="1:14" ht="14.4" x14ac:dyDescent="0.3">
      <c r="A93" s="20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</row>
    <row r="94" spans="1:14" ht="14.4" x14ac:dyDescent="0.3">
      <c r="A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 ht="14.4" x14ac:dyDescent="0.3">
      <c r="A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2"/>
    </row>
    <row r="96" spans="1:14" ht="14.4" x14ac:dyDescent="0.3">
      <c r="A96" s="20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14.4" x14ac:dyDescent="0.3">
      <c r="A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2"/>
    </row>
    <row r="98" spans="1:14" ht="14.4" x14ac:dyDescent="0.3">
      <c r="A98" s="20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</row>
    <row r="99" spans="1:14" ht="14.4" x14ac:dyDescent="0.3">
      <c r="A99" s="20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2"/>
    </row>
    <row r="100" spans="1:14" ht="14.4" x14ac:dyDescent="0.3">
      <c r="A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</row>
    <row r="101" spans="1:14" ht="14.4" x14ac:dyDescent="0.3">
      <c r="A101" s="20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2"/>
    </row>
    <row r="102" spans="1:14" ht="14.4" x14ac:dyDescent="0.3">
      <c r="A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</row>
    <row r="103" spans="1:14" ht="14.4" x14ac:dyDescent="0.3">
      <c r="A103" s="20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2"/>
    </row>
    <row r="104" spans="1:14" ht="14.4" x14ac:dyDescent="0.3">
      <c r="A104" s="20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 ht="14.4" x14ac:dyDescent="0.3">
      <c r="A105" s="20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2"/>
    </row>
    <row r="106" spans="1:14" ht="14.4" x14ac:dyDescent="0.3">
      <c r="A106" s="20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</row>
    <row r="107" spans="1:14" ht="14.4" x14ac:dyDescent="0.3">
      <c r="A107" s="20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2"/>
    </row>
    <row r="108" spans="1:14" ht="14.4" x14ac:dyDescent="0.3">
      <c r="A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</row>
    <row r="109" spans="1:14" ht="14.4" x14ac:dyDescent="0.3">
      <c r="A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2"/>
    </row>
    <row r="110" spans="1:14" ht="14.4" x14ac:dyDescent="0.3">
      <c r="A110" s="20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</row>
    <row r="111" spans="1:14" ht="14.4" x14ac:dyDescent="0.3">
      <c r="A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2"/>
    </row>
    <row r="112" spans="1:14" ht="14.4" x14ac:dyDescent="0.3">
      <c r="A112" s="20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2"/>
    </row>
    <row r="113" spans="1:14" ht="14.4" x14ac:dyDescent="0.3">
      <c r="A113" s="20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2"/>
    </row>
    <row r="114" spans="1:14" ht="14.4" x14ac:dyDescent="0.3">
      <c r="A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2"/>
    </row>
    <row r="115" spans="1:14" ht="14.4" x14ac:dyDescent="0.3">
      <c r="A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2"/>
    </row>
    <row r="116" spans="1:14" ht="14.4" x14ac:dyDescent="0.3">
      <c r="A116" s="20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2"/>
    </row>
    <row r="117" spans="1:14" ht="14.4" x14ac:dyDescent="0.3">
      <c r="A117" s="20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2"/>
    </row>
    <row r="118" spans="1:14" ht="14.4" x14ac:dyDescent="0.3">
      <c r="A118" s="20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2"/>
    </row>
    <row r="119" spans="1:14" ht="14.4" x14ac:dyDescent="0.3">
      <c r="A119" s="20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2"/>
    </row>
    <row r="120" spans="1:14" ht="14.4" x14ac:dyDescent="0.3">
      <c r="A120" s="20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2"/>
    </row>
    <row r="121" spans="1:14" ht="14.4" x14ac:dyDescent="0.3">
      <c r="A121" s="20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2"/>
    </row>
    <row r="122" spans="1:14" ht="14.4" x14ac:dyDescent="0.3">
      <c r="A122" s="20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2"/>
    </row>
    <row r="123" spans="1:14" ht="14.4" x14ac:dyDescent="0.3">
      <c r="A123" s="20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2"/>
    </row>
    <row r="124" spans="1:14" ht="14.4" x14ac:dyDescent="0.3">
      <c r="A124" s="20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2"/>
    </row>
    <row r="125" spans="1:14" ht="14.4" x14ac:dyDescent="0.3">
      <c r="A125" s="20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2"/>
    </row>
    <row r="126" spans="1:14" ht="14.4" x14ac:dyDescent="0.3">
      <c r="A126" s="20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2"/>
    </row>
    <row r="127" spans="1:14" ht="14.4" x14ac:dyDescent="0.3">
      <c r="A127" s="20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2"/>
    </row>
    <row r="128" spans="1:14" ht="14.4" x14ac:dyDescent="0.3">
      <c r="A128" s="20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2"/>
    </row>
    <row r="129" spans="1:14" ht="14.4" x14ac:dyDescent="0.3">
      <c r="A129" s="20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2"/>
    </row>
    <row r="130" spans="1:14" ht="14.4" x14ac:dyDescent="0.3">
      <c r="A130" s="20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2"/>
    </row>
    <row r="131" spans="1:14" ht="14.4" x14ac:dyDescent="0.3">
      <c r="A131" s="20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2"/>
    </row>
    <row r="132" spans="1:14" ht="14.4" x14ac:dyDescent="0.3">
      <c r="A132" s="20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2"/>
    </row>
    <row r="133" spans="1:14" ht="14.4" x14ac:dyDescent="0.3">
      <c r="A133" s="20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2"/>
    </row>
    <row r="134" spans="1:14" ht="14.4" x14ac:dyDescent="0.3">
      <c r="A134" s="20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2"/>
    </row>
    <row r="135" spans="1:14" ht="14.4" x14ac:dyDescent="0.3">
      <c r="A135" s="20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2"/>
    </row>
    <row r="136" spans="1:14" ht="14.4" x14ac:dyDescent="0.3">
      <c r="A136" s="20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2"/>
    </row>
    <row r="137" spans="1:14" ht="14.4" x14ac:dyDescent="0.3">
      <c r="A137" s="20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2"/>
    </row>
    <row r="138" spans="1:14" ht="14.4" x14ac:dyDescent="0.3">
      <c r="A138" s="20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2"/>
    </row>
    <row r="139" spans="1:14" ht="14.4" x14ac:dyDescent="0.3">
      <c r="A139" s="20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2"/>
    </row>
    <row r="140" spans="1:14" ht="14.4" x14ac:dyDescent="0.3">
      <c r="A140" s="20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2"/>
    </row>
    <row r="141" spans="1:14" ht="14.4" x14ac:dyDescent="0.3">
      <c r="A141" s="20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2"/>
    </row>
    <row r="142" spans="1:14" ht="14.4" x14ac:dyDescent="0.3">
      <c r="A142" s="20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2"/>
    </row>
    <row r="143" spans="1:14" ht="14.4" x14ac:dyDescent="0.3">
      <c r="A143" s="20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2"/>
    </row>
    <row r="144" spans="1:14" ht="14.4" x14ac:dyDescent="0.3">
      <c r="A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2"/>
    </row>
    <row r="145" spans="1:14" ht="14.4" x14ac:dyDescent="0.3">
      <c r="A145" s="20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2"/>
    </row>
    <row r="146" spans="1:14" ht="14.4" x14ac:dyDescent="0.3">
      <c r="A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2"/>
    </row>
    <row r="147" spans="1:14" ht="14.4" x14ac:dyDescent="0.3">
      <c r="A147" s="20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2"/>
    </row>
    <row r="148" spans="1:14" ht="14.4" x14ac:dyDescent="0.3">
      <c r="A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2"/>
    </row>
    <row r="149" spans="1:14" ht="14.4" x14ac:dyDescent="0.3">
      <c r="A149" s="20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2"/>
    </row>
    <row r="150" spans="1:14" ht="14.4" x14ac:dyDescent="0.3">
      <c r="A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2"/>
    </row>
    <row r="151" spans="1:14" ht="14.4" x14ac:dyDescent="0.3">
      <c r="A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2"/>
    </row>
    <row r="152" spans="1:14" ht="14.4" x14ac:dyDescent="0.3">
      <c r="A152" s="20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2"/>
    </row>
    <row r="153" spans="1:14" ht="14.4" x14ac:dyDescent="0.3">
      <c r="A153" s="20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2"/>
    </row>
    <row r="154" spans="1:14" ht="14.4" x14ac:dyDescent="0.3">
      <c r="A154" s="20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2"/>
    </row>
    <row r="155" spans="1:14" ht="14.4" x14ac:dyDescent="0.3">
      <c r="A155" s="20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2"/>
    </row>
    <row r="156" spans="1:14" ht="14.4" x14ac:dyDescent="0.3">
      <c r="A156" s="20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2"/>
    </row>
    <row r="157" spans="1:14" ht="14.4" x14ac:dyDescent="0.3">
      <c r="A157" s="20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2"/>
    </row>
    <row r="158" spans="1:14" ht="14.4" x14ac:dyDescent="0.3">
      <c r="A158" s="20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2"/>
    </row>
    <row r="159" spans="1:14" ht="14.4" x14ac:dyDescent="0.3">
      <c r="A159" s="20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2"/>
    </row>
    <row r="160" spans="1:14" ht="14.4" x14ac:dyDescent="0.3">
      <c r="A160" s="20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2"/>
    </row>
    <row r="161" spans="1:14" ht="14.4" x14ac:dyDescent="0.3">
      <c r="A161" s="20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2"/>
    </row>
    <row r="162" spans="1:14" ht="14.4" x14ac:dyDescent="0.3">
      <c r="A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2"/>
    </row>
    <row r="163" spans="1:14" ht="14.4" x14ac:dyDescent="0.3">
      <c r="A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2"/>
    </row>
    <row r="164" spans="1:14" ht="14.4" x14ac:dyDescent="0.3">
      <c r="A164" s="20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2"/>
    </row>
    <row r="165" spans="1:14" ht="14.4" x14ac:dyDescent="0.3">
      <c r="A165" s="20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2"/>
    </row>
    <row r="166" spans="1:14" ht="14.4" x14ac:dyDescent="0.3">
      <c r="A166" s="20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2"/>
    </row>
    <row r="167" spans="1:14" ht="14.4" x14ac:dyDescent="0.3">
      <c r="A167" s="20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2"/>
    </row>
    <row r="168" spans="1:14" ht="14.4" x14ac:dyDescent="0.3">
      <c r="A168" s="20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</row>
    <row r="169" spans="1:14" ht="14.4" x14ac:dyDescent="0.3">
      <c r="A169" s="20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2"/>
    </row>
    <row r="170" spans="1:14" ht="14.4" x14ac:dyDescent="0.3">
      <c r="A170" s="20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</row>
    <row r="171" spans="1:14" ht="14.4" x14ac:dyDescent="0.3">
      <c r="A171" s="20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2"/>
    </row>
    <row r="172" spans="1:14" ht="14.4" x14ac:dyDescent="0.3">
      <c r="A172" s="20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</row>
    <row r="173" spans="1:14" ht="14.4" x14ac:dyDescent="0.3">
      <c r="A173" s="20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2"/>
    </row>
    <row r="174" spans="1:14" ht="14.4" x14ac:dyDescent="0.3">
      <c r="A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 ht="14.4" x14ac:dyDescent="0.3">
      <c r="A175" s="20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2"/>
    </row>
    <row r="176" spans="1:14" ht="14.4" x14ac:dyDescent="0.3">
      <c r="A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</row>
    <row r="177" spans="1:14" ht="14.4" x14ac:dyDescent="0.3">
      <c r="A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2"/>
    </row>
    <row r="178" spans="1:14" ht="14.4" x14ac:dyDescent="0.3">
      <c r="A178" s="20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</row>
    <row r="179" spans="1:14" ht="14.4" x14ac:dyDescent="0.3">
      <c r="A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2"/>
    </row>
    <row r="180" spans="1:14" ht="14.4" x14ac:dyDescent="0.3">
      <c r="A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</row>
    <row r="181" spans="1:14" ht="14.4" x14ac:dyDescent="0.3">
      <c r="A181" s="20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2"/>
    </row>
    <row r="182" spans="1:14" ht="14.4" x14ac:dyDescent="0.3">
      <c r="A182" s="20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</row>
    <row r="183" spans="1:14" ht="14.4" x14ac:dyDescent="0.3">
      <c r="A183" s="20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2"/>
    </row>
    <row r="184" spans="1:14" ht="14.4" x14ac:dyDescent="0.3">
      <c r="A184" s="20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 ht="14.4" x14ac:dyDescent="0.3">
      <c r="A185" s="20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2"/>
    </row>
    <row r="186" spans="1:14" ht="14.4" x14ac:dyDescent="0.3">
      <c r="A186" s="20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</row>
    <row r="187" spans="1:14" ht="14.4" x14ac:dyDescent="0.3">
      <c r="A187" s="20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2"/>
    </row>
    <row r="188" spans="1:14" ht="14.4" x14ac:dyDescent="0.3">
      <c r="A188" s="20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</row>
    <row r="189" spans="1:14" ht="14.4" x14ac:dyDescent="0.3">
      <c r="A189" s="20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2"/>
    </row>
    <row r="190" spans="1:14" ht="14.4" x14ac:dyDescent="0.3">
      <c r="A190" s="20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</row>
    <row r="191" spans="1:14" ht="14.4" x14ac:dyDescent="0.3">
      <c r="A191" s="20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2"/>
    </row>
    <row r="192" spans="1:14" ht="14.4" x14ac:dyDescent="0.3">
      <c r="A192" s="20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</row>
    <row r="193" spans="1:14" ht="14.4" x14ac:dyDescent="0.3">
      <c r="A193" s="20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2"/>
    </row>
    <row r="194" spans="1:14" ht="14.4" x14ac:dyDescent="0.3">
      <c r="A194" s="20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14.4" x14ac:dyDescent="0.3">
      <c r="A195" s="20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2"/>
    </row>
    <row r="196" spans="1:14" ht="14.4" x14ac:dyDescent="0.3">
      <c r="A196" s="20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14.4" x14ac:dyDescent="0.3">
      <c r="A197" s="20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2"/>
    </row>
    <row r="198" spans="1:14" ht="14.4" x14ac:dyDescent="0.3">
      <c r="A198" s="20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</row>
    <row r="199" spans="1:14" ht="14.4" x14ac:dyDescent="0.3">
      <c r="A199" s="20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2"/>
    </row>
    <row r="200" spans="1:14" ht="14.4" x14ac:dyDescent="0.3">
      <c r="A200" s="20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2"/>
    </row>
    <row r="201" spans="1:14" ht="14.4" x14ac:dyDescent="0.3">
      <c r="A201" s="20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2"/>
    </row>
    <row r="202" spans="1:14" ht="14.4" x14ac:dyDescent="0.3">
      <c r="A202" s="20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2"/>
    </row>
    <row r="203" spans="1:14" ht="14.4" x14ac:dyDescent="0.3">
      <c r="A203" s="20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2"/>
    </row>
    <row r="204" spans="1:14" ht="14.4" x14ac:dyDescent="0.3">
      <c r="A204" s="20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 ht="14.4" x14ac:dyDescent="0.3">
      <c r="A205" s="20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2"/>
    </row>
    <row r="206" spans="1:14" ht="14.4" x14ac:dyDescent="0.3">
      <c r="A206" s="20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2"/>
    </row>
    <row r="207" spans="1:14" ht="14.4" x14ac:dyDescent="0.3">
      <c r="A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2"/>
    </row>
    <row r="208" spans="1:14" ht="14.4" x14ac:dyDescent="0.3">
      <c r="A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2"/>
    </row>
    <row r="209" spans="1:14" ht="14.4" x14ac:dyDescent="0.3">
      <c r="A209" s="20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2"/>
    </row>
    <row r="210" spans="1:14" ht="14.4" x14ac:dyDescent="0.3">
      <c r="A210" s="20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2"/>
    </row>
    <row r="211" spans="1:14" ht="14.4" x14ac:dyDescent="0.3">
      <c r="A211" s="20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2"/>
    </row>
    <row r="212" spans="1:14" ht="14.4" x14ac:dyDescent="0.3">
      <c r="A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14.4" x14ac:dyDescent="0.3">
      <c r="A213" s="20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2"/>
    </row>
    <row r="214" spans="1:14" ht="14.4" x14ac:dyDescent="0.3">
      <c r="A214" s="20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 ht="14.4" x14ac:dyDescent="0.3">
      <c r="A215" s="20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2"/>
    </row>
    <row r="216" spans="1:14" ht="14.4" x14ac:dyDescent="0.3">
      <c r="A216" s="20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14.4" x14ac:dyDescent="0.3">
      <c r="A217" s="20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2"/>
    </row>
    <row r="218" spans="1:14" ht="14.4" x14ac:dyDescent="0.3">
      <c r="A218" s="20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2"/>
    </row>
    <row r="219" spans="1:14" ht="14.4" x14ac:dyDescent="0.3">
      <c r="A219" s="20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2"/>
    </row>
    <row r="220" spans="1:14" ht="14.4" x14ac:dyDescent="0.3">
      <c r="A220" s="20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2"/>
    </row>
    <row r="221" spans="1:14" ht="14.4" x14ac:dyDescent="0.3">
      <c r="A221" s="20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2"/>
    </row>
    <row r="222" spans="1:14" ht="14.4" x14ac:dyDescent="0.3">
      <c r="A222" s="20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2"/>
    </row>
    <row r="223" spans="1:14" ht="14.4" x14ac:dyDescent="0.3">
      <c r="A223" s="20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2"/>
    </row>
    <row r="224" spans="1:14" ht="14.4" x14ac:dyDescent="0.3">
      <c r="A224" s="20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2"/>
    </row>
    <row r="225" spans="1:14" ht="14.4" x14ac:dyDescent="0.3">
      <c r="A225" s="20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2"/>
    </row>
    <row r="226" spans="1:14" ht="14.4" x14ac:dyDescent="0.3">
      <c r="A226" s="20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2"/>
    </row>
    <row r="227" spans="1:14" ht="14.4" x14ac:dyDescent="0.3">
      <c r="A227" s="20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2"/>
    </row>
    <row r="228" spans="1:14" ht="14.4" x14ac:dyDescent="0.3">
      <c r="A228" s="20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2"/>
    </row>
    <row r="229" spans="1:14" ht="14.4" x14ac:dyDescent="0.3">
      <c r="A229" s="20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2"/>
    </row>
    <row r="230" spans="1:14" ht="14.4" x14ac:dyDescent="0.3">
      <c r="A230" s="20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2"/>
    </row>
    <row r="231" spans="1:14" ht="14.4" x14ac:dyDescent="0.3">
      <c r="A231" s="20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2"/>
    </row>
    <row r="232" spans="1:14" ht="14.4" x14ac:dyDescent="0.3">
      <c r="A232" s="20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2"/>
    </row>
    <row r="233" spans="1:14" ht="14.4" x14ac:dyDescent="0.3">
      <c r="A233" s="20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2"/>
    </row>
    <row r="234" spans="1:14" ht="14.4" x14ac:dyDescent="0.3">
      <c r="A234" s="20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2"/>
    </row>
    <row r="235" spans="1:14" ht="14.4" x14ac:dyDescent="0.3">
      <c r="A235" s="20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2"/>
    </row>
    <row r="236" spans="1:14" ht="14.4" x14ac:dyDescent="0.3">
      <c r="A236" s="20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2"/>
    </row>
    <row r="237" spans="1:14" ht="14.4" x14ac:dyDescent="0.3">
      <c r="A237" s="20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2"/>
    </row>
    <row r="238" spans="1:14" ht="14.4" x14ac:dyDescent="0.3">
      <c r="A238" s="20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2"/>
    </row>
    <row r="239" spans="1:14" ht="14.4" x14ac:dyDescent="0.3">
      <c r="A239" s="20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2"/>
    </row>
    <row r="240" spans="1:14" ht="14.4" x14ac:dyDescent="0.3">
      <c r="A240" s="20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2"/>
    </row>
    <row r="241" spans="1:14" ht="14.4" x14ac:dyDescent="0.3">
      <c r="A241" s="20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2"/>
    </row>
    <row r="242" spans="1:14" ht="14.4" x14ac:dyDescent="0.3">
      <c r="A242" s="20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2"/>
    </row>
    <row r="243" spans="1:14" ht="14.4" x14ac:dyDescent="0.3">
      <c r="A243" s="20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2"/>
    </row>
    <row r="244" spans="1:14" ht="14.4" x14ac:dyDescent="0.3">
      <c r="A244" s="20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2"/>
    </row>
    <row r="245" spans="1:14" ht="14.4" x14ac:dyDescent="0.3">
      <c r="A245" s="20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2"/>
    </row>
    <row r="246" spans="1:14" ht="14.4" x14ac:dyDescent="0.3">
      <c r="A246" s="20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2"/>
    </row>
    <row r="247" spans="1:14" ht="14.4" x14ac:dyDescent="0.3">
      <c r="A247" s="20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2"/>
    </row>
    <row r="248" spans="1:14" ht="14.4" x14ac:dyDescent="0.3">
      <c r="A248" s="20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2"/>
    </row>
    <row r="249" spans="1:14" ht="14.4" x14ac:dyDescent="0.3">
      <c r="A249" s="20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2"/>
    </row>
    <row r="250" spans="1:14" ht="14.4" x14ac:dyDescent="0.3">
      <c r="A250" s="20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2"/>
    </row>
    <row r="251" spans="1:14" ht="14.4" x14ac:dyDescent="0.3">
      <c r="A251" s="20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2"/>
    </row>
    <row r="252" spans="1:14" ht="14.4" x14ac:dyDescent="0.3">
      <c r="A252" s="20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2"/>
    </row>
    <row r="253" spans="1:14" ht="14.4" x14ac:dyDescent="0.3">
      <c r="A253" s="20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2"/>
    </row>
    <row r="254" spans="1:14" ht="14.4" x14ac:dyDescent="0.3">
      <c r="A254" s="20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2"/>
    </row>
    <row r="255" spans="1:14" ht="14.4" x14ac:dyDescent="0.3">
      <c r="A255" s="20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2"/>
    </row>
    <row r="256" spans="1:14" ht="14.4" x14ac:dyDescent="0.3">
      <c r="A256" s="20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2"/>
    </row>
    <row r="257" spans="1:14" ht="14.4" x14ac:dyDescent="0.3">
      <c r="A257" s="20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2"/>
    </row>
    <row r="258" spans="1:14" ht="14.4" x14ac:dyDescent="0.3">
      <c r="A258" s="20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2"/>
    </row>
    <row r="259" spans="1:14" ht="14.4" x14ac:dyDescent="0.3">
      <c r="A259" s="20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2"/>
    </row>
    <row r="260" spans="1:14" ht="14.4" x14ac:dyDescent="0.3">
      <c r="A260" s="20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2"/>
    </row>
    <row r="261" spans="1:14" ht="14.4" x14ac:dyDescent="0.3">
      <c r="A261" s="20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2"/>
    </row>
    <row r="262" spans="1:14" ht="14.4" x14ac:dyDescent="0.3">
      <c r="A262" s="20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2"/>
    </row>
    <row r="263" spans="1:14" ht="14.4" x14ac:dyDescent="0.3">
      <c r="A263" s="20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2"/>
    </row>
    <row r="264" spans="1:14" ht="14.4" x14ac:dyDescent="0.3">
      <c r="A264" s="20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2"/>
    </row>
    <row r="265" spans="1:14" ht="14.4" x14ac:dyDescent="0.3">
      <c r="A265" s="20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2"/>
    </row>
    <row r="266" spans="1:14" ht="14.4" x14ac:dyDescent="0.3">
      <c r="A266" s="20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2"/>
    </row>
    <row r="267" spans="1:14" ht="14.4" x14ac:dyDescent="0.3">
      <c r="A267" s="20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2"/>
    </row>
    <row r="268" spans="1:14" ht="14.4" x14ac:dyDescent="0.3">
      <c r="A268" s="20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2"/>
    </row>
    <row r="269" spans="1:14" ht="14.4" x14ac:dyDescent="0.3">
      <c r="A269" s="20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2"/>
    </row>
    <row r="270" spans="1:14" ht="14.4" x14ac:dyDescent="0.3">
      <c r="A270" s="20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2"/>
    </row>
    <row r="271" spans="1:14" ht="14.4" x14ac:dyDescent="0.3">
      <c r="A271" s="20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2"/>
    </row>
    <row r="272" spans="1:14" ht="14.4" x14ac:dyDescent="0.3">
      <c r="A272" s="20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2"/>
    </row>
    <row r="273" spans="1:14" ht="14.4" x14ac:dyDescent="0.3">
      <c r="A273" s="20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2"/>
    </row>
    <row r="274" spans="1:14" ht="14.4" x14ac:dyDescent="0.3">
      <c r="A274" s="20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2"/>
    </row>
    <row r="275" spans="1:14" ht="14.4" x14ac:dyDescent="0.3">
      <c r="A275" s="20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2"/>
    </row>
    <row r="276" spans="1:14" ht="14.4" x14ac:dyDescent="0.3">
      <c r="A276" s="20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2"/>
    </row>
    <row r="277" spans="1:14" ht="14.4" x14ac:dyDescent="0.3">
      <c r="A277" s="20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2"/>
    </row>
    <row r="278" spans="1:14" ht="14.4" x14ac:dyDescent="0.3">
      <c r="A278" s="20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 spans="1:14" ht="14.4" x14ac:dyDescent="0.3">
      <c r="A279" s="20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2"/>
    </row>
    <row r="280" spans="1:14" ht="14.4" x14ac:dyDescent="0.3">
      <c r="A280" s="20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2"/>
    </row>
    <row r="281" spans="1:14" ht="14.4" x14ac:dyDescent="0.3">
      <c r="A281" s="20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2"/>
    </row>
    <row r="282" spans="1:14" ht="14.4" x14ac:dyDescent="0.3">
      <c r="A282" s="20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2"/>
    </row>
    <row r="283" spans="1:14" ht="14.4" x14ac:dyDescent="0.3">
      <c r="A283" s="20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2"/>
    </row>
    <row r="284" spans="1:14" ht="14.4" x14ac:dyDescent="0.3">
      <c r="A284" s="20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 ht="14.4" x14ac:dyDescent="0.3">
      <c r="A285" s="20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2"/>
    </row>
    <row r="286" spans="1:14" ht="14.4" x14ac:dyDescent="0.3">
      <c r="A286" s="20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2"/>
    </row>
    <row r="287" spans="1:14" ht="14.4" x14ac:dyDescent="0.3">
      <c r="A287" s="20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2"/>
    </row>
    <row r="288" spans="1:14" ht="14.4" x14ac:dyDescent="0.3">
      <c r="A288" s="20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2"/>
    </row>
    <row r="289" spans="1:14" ht="14.4" x14ac:dyDescent="0.3">
      <c r="A289" s="20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2"/>
    </row>
    <row r="290" spans="1:14" ht="14.4" x14ac:dyDescent="0.3">
      <c r="A290" s="20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2"/>
    </row>
    <row r="291" spans="1:14" ht="14.4" x14ac:dyDescent="0.3">
      <c r="A291" s="20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2"/>
    </row>
    <row r="292" spans="1:14" ht="14.4" x14ac:dyDescent="0.3">
      <c r="A292" s="20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2"/>
    </row>
    <row r="293" spans="1:14" ht="14.4" x14ac:dyDescent="0.3">
      <c r="A293" s="20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2"/>
    </row>
    <row r="294" spans="1:14" ht="14.4" x14ac:dyDescent="0.3">
      <c r="A294" s="20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 ht="14.4" x14ac:dyDescent="0.3">
      <c r="A295" s="20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2"/>
    </row>
    <row r="296" spans="1:14" ht="14.4" x14ac:dyDescent="0.3">
      <c r="A296" s="20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2"/>
    </row>
    <row r="297" spans="1:14" ht="14.4" x14ac:dyDescent="0.3">
      <c r="A297" s="20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2"/>
    </row>
    <row r="298" spans="1:14" ht="14.4" x14ac:dyDescent="0.3">
      <c r="A298" s="20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2"/>
    </row>
    <row r="299" spans="1:14" ht="14.4" x14ac:dyDescent="0.3">
      <c r="A299" s="20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2"/>
    </row>
    <row r="300" spans="1:14" ht="14.4" x14ac:dyDescent="0.3">
      <c r="A300" s="20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2"/>
    </row>
    <row r="301" spans="1:14" ht="14.4" x14ac:dyDescent="0.3">
      <c r="A301" s="20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2"/>
    </row>
    <row r="302" spans="1:14" ht="14.4" x14ac:dyDescent="0.3">
      <c r="A302" s="20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2"/>
    </row>
    <row r="303" spans="1:14" ht="14.4" x14ac:dyDescent="0.3">
      <c r="A303" s="20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2"/>
    </row>
    <row r="304" spans="1:14" ht="14.4" x14ac:dyDescent="0.3">
      <c r="A304" s="20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 ht="14.4" x14ac:dyDescent="0.3">
      <c r="A305" s="20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2"/>
    </row>
    <row r="306" spans="1:14" ht="14.4" x14ac:dyDescent="0.3">
      <c r="A306" s="20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2"/>
    </row>
    <row r="307" spans="1:14" ht="14.4" x14ac:dyDescent="0.3">
      <c r="A307" s="20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2"/>
    </row>
    <row r="308" spans="1:14" ht="14.4" x14ac:dyDescent="0.3">
      <c r="A308" s="20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2"/>
    </row>
    <row r="309" spans="1:14" ht="14.4" x14ac:dyDescent="0.3">
      <c r="A309" s="20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2"/>
    </row>
    <row r="310" spans="1:14" ht="14.4" x14ac:dyDescent="0.3">
      <c r="A310" s="20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2"/>
    </row>
    <row r="311" spans="1:14" ht="14.4" x14ac:dyDescent="0.3">
      <c r="A311" s="20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2"/>
    </row>
    <row r="312" spans="1:14" ht="14.4" x14ac:dyDescent="0.3">
      <c r="A312" s="20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2"/>
    </row>
    <row r="313" spans="1:14" ht="14.4" x14ac:dyDescent="0.3">
      <c r="A313" s="20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2"/>
    </row>
    <row r="314" spans="1:14" ht="14.4" x14ac:dyDescent="0.3">
      <c r="A314" s="20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 ht="14.4" x14ac:dyDescent="0.3">
      <c r="A315" s="20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2"/>
    </row>
    <row r="316" spans="1:14" ht="14.4" x14ac:dyDescent="0.3">
      <c r="A316" s="20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2"/>
    </row>
    <row r="317" spans="1:14" ht="14.4" x14ac:dyDescent="0.3">
      <c r="A317" s="20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2"/>
    </row>
    <row r="318" spans="1:14" ht="14.4" x14ac:dyDescent="0.3">
      <c r="A318" s="20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2"/>
    </row>
    <row r="319" spans="1:14" ht="14.4" x14ac:dyDescent="0.3">
      <c r="A319" s="20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2"/>
    </row>
    <row r="320" spans="1:14" ht="14.4" x14ac:dyDescent="0.3">
      <c r="A320" s="20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2"/>
    </row>
    <row r="321" spans="1:14" ht="14.4" x14ac:dyDescent="0.3">
      <c r="A321" s="20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2"/>
    </row>
    <row r="322" spans="1:14" ht="14.4" x14ac:dyDescent="0.3">
      <c r="A322" s="20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2"/>
    </row>
    <row r="323" spans="1:14" ht="14.4" x14ac:dyDescent="0.3">
      <c r="A323" s="20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2"/>
    </row>
    <row r="324" spans="1:14" ht="14.4" x14ac:dyDescent="0.3">
      <c r="A324" s="20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 ht="14.4" x14ac:dyDescent="0.3">
      <c r="A325" s="20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2"/>
    </row>
    <row r="326" spans="1:14" ht="14.4" x14ac:dyDescent="0.3">
      <c r="A326" s="20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2"/>
    </row>
    <row r="327" spans="1:14" ht="14.4" x14ac:dyDescent="0.3">
      <c r="A327" s="20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2"/>
    </row>
    <row r="328" spans="1:14" ht="14.4" x14ac:dyDescent="0.3">
      <c r="A328" s="20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2"/>
    </row>
    <row r="329" spans="1:14" ht="14.4" x14ac:dyDescent="0.3">
      <c r="A329" s="20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2"/>
    </row>
    <row r="330" spans="1:14" ht="14.4" x14ac:dyDescent="0.3">
      <c r="A330" s="20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2"/>
    </row>
    <row r="331" spans="1:14" ht="14.4" x14ac:dyDescent="0.3">
      <c r="A331" s="20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2"/>
    </row>
    <row r="332" spans="1:14" ht="14.4" x14ac:dyDescent="0.3">
      <c r="A332" s="20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2"/>
    </row>
    <row r="333" spans="1:14" ht="14.4" x14ac:dyDescent="0.3">
      <c r="A333" s="20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2"/>
    </row>
    <row r="334" spans="1:14" ht="14.4" x14ac:dyDescent="0.3">
      <c r="A334" s="20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2"/>
    </row>
    <row r="335" spans="1:14" ht="14.4" x14ac:dyDescent="0.3">
      <c r="A335" s="20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2"/>
    </row>
    <row r="336" spans="1:14" ht="14.4" x14ac:dyDescent="0.3">
      <c r="A336" s="20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2"/>
    </row>
    <row r="337" spans="1:14" ht="14.4" x14ac:dyDescent="0.3">
      <c r="A337" s="20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2"/>
    </row>
    <row r="338" spans="1:14" ht="14.4" x14ac:dyDescent="0.3">
      <c r="A338" s="20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2"/>
    </row>
    <row r="339" spans="1:14" ht="14.4" x14ac:dyDescent="0.3">
      <c r="A339" s="20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2"/>
    </row>
    <row r="340" spans="1:14" ht="14.4" x14ac:dyDescent="0.3">
      <c r="A340" s="20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2"/>
    </row>
    <row r="341" spans="1:14" ht="14.4" x14ac:dyDescent="0.3">
      <c r="A341" s="20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2"/>
    </row>
    <row r="342" spans="1:14" ht="14.4" x14ac:dyDescent="0.3">
      <c r="A342" s="20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2"/>
    </row>
    <row r="343" spans="1:14" ht="14.4" x14ac:dyDescent="0.3">
      <c r="A343" s="20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2"/>
    </row>
    <row r="344" spans="1:14" ht="14.4" x14ac:dyDescent="0.3">
      <c r="A344" s="20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2"/>
    </row>
    <row r="345" spans="1:14" ht="14.4" x14ac:dyDescent="0.3">
      <c r="A345" s="20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2"/>
    </row>
    <row r="346" spans="1:14" ht="14.4" x14ac:dyDescent="0.3">
      <c r="A346" s="20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2"/>
    </row>
    <row r="347" spans="1:14" ht="14.4" x14ac:dyDescent="0.3">
      <c r="A347" s="20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2"/>
    </row>
    <row r="348" spans="1:14" ht="14.4" x14ac:dyDescent="0.3">
      <c r="A348" s="20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2"/>
    </row>
    <row r="349" spans="1:14" ht="14.4" x14ac:dyDescent="0.3">
      <c r="A349" s="20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2"/>
    </row>
    <row r="350" spans="1:14" ht="14.4" x14ac:dyDescent="0.3">
      <c r="A350" s="20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2"/>
    </row>
    <row r="351" spans="1:14" ht="14.4" x14ac:dyDescent="0.3">
      <c r="A351" s="20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2"/>
    </row>
    <row r="352" spans="1:14" ht="14.4" x14ac:dyDescent="0.3">
      <c r="A352" s="20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2"/>
    </row>
    <row r="353" spans="1:14" ht="14.4" x14ac:dyDescent="0.3">
      <c r="A353" s="20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2"/>
    </row>
    <row r="354" spans="1:14" ht="14.4" x14ac:dyDescent="0.3">
      <c r="A354" s="20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2"/>
    </row>
    <row r="355" spans="1:14" ht="14.4" x14ac:dyDescent="0.3">
      <c r="A355" s="20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2"/>
    </row>
    <row r="356" spans="1:14" ht="14.4" x14ac:dyDescent="0.3">
      <c r="A356" s="20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2"/>
    </row>
    <row r="357" spans="1:14" ht="14.4" x14ac:dyDescent="0.3">
      <c r="A357" s="20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2"/>
    </row>
    <row r="358" spans="1:14" ht="14.4" x14ac:dyDescent="0.3">
      <c r="A358" s="20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2"/>
    </row>
    <row r="359" spans="1:14" ht="14.4" x14ac:dyDescent="0.3">
      <c r="A359" s="20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2"/>
    </row>
    <row r="360" spans="1:14" ht="14.4" x14ac:dyDescent="0.3">
      <c r="A360" s="20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2"/>
    </row>
    <row r="361" spans="1:14" ht="14.4" x14ac:dyDescent="0.3">
      <c r="A361" s="20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2"/>
    </row>
    <row r="362" spans="1:14" ht="14.4" x14ac:dyDescent="0.3">
      <c r="A362" s="20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2"/>
    </row>
    <row r="363" spans="1:14" ht="14.4" x14ac:dyDescent="0.3">
      <c r="A363" s="20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2"/>
    </row>
    <row r="364" spans="1:14" ht="14.4" x14ac:dyDescent="0.3">
      <c r="A364" s="20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2"/>
    </row>
    <row r="365" spans="1:14" ht="14.4" x14ac:dyDescent="0.3">
      <c r="A365" s="20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2"/>
    </row>
    <row r="366" spans="1:14" ht="14.4" x14ac:dyDescent="0.3">
      <c r="A366" s="20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2"/>
    </row>
    <row r="367" spans="1:14" ht="14.4" x14ac:dyDescent="0.3">
      <c r="A367" s="20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2"/>
    </row>
    <row r="368" spans="1:14" ht="14.4" x14ac:dyDescent="0.3">
      <c r="A368" s="20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2"/>
    </row>
    <row r="369" spans="1:14" ht="14.4" x14ac:dyDescent="0.3">
      <c r="A369" s="20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2"/>
    </row>
    <row r="370" spans="1:14" ht="14.4" x14ac:dyDescent="0.3">
      <c r="A370" s="20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2"/>
    </row>
    <row r="371" spans="1:14" ht="14.4" x14ac:dyDescent="0.3">
      <c r="A371" s="20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2"/>
    </row>
    <row r="372" spans="1:14" ht="14.4" x14ac:dyDescent="0.3">
      <c r="A372" s="20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2"/>
    </row>
    <row r="373" spans="1:14" ht="14.4" x14ac:dyDescent="0.3">
      <c r="A373" s="20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2"/>
    </row>
    <row r="374" spans="1:14" ht="14.4" x14ac:dyDescent="0.3">
      <c r="A374" s="20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2"/>
    </row>
    <row r="375" spans="1:14" ht="14.4" x14ac:dyDescent="0.3">
      <c r="A375" s="20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2"/>
    </row>
    <row r="376" spans="1:14" ht="14.4" x14ac:dyDescent="0.3">
      <c r="A376" s="20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2"/>
    </row>
    <row r="377" spans="1:14" ht="14.4" x14ac:dyDescent="0.3">
      <c r="A377" s="20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2"/>
    </row>
    <row r="378" spans="1:14" ht="14.4" x14ac:dyDescent="0.3">
      <c r="A378" s="20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2"/>
    </row>
    <row r="379" spans="1:14" ht="14.4" x14ac:dyDescent="0.3">
      <c r="A379" s="20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2"/>
    </row>
    <row r="380" spans="1:14" ht="14.4" x14ac:dyDescent="0.3">
      <c r="A380" s="20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2"/>
    </row>
    <row r="381" spans="1:14" ht="14.4" x14ac:dyDescent="0.3">
      <c r="A381" s="20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2"/>
    </row>
    <row r="382" spans="1:14" ht="14.4" x14ac:dyDescent="0.3">
      <c r="A382" s="20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2"/>
    </row>
    <row r="383" spans="1:14" ht="14.4" x14ac:dyDescent="0.3">
      <c r="A383" s="20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2"/>
    </row>
    <row r="384" spans="1:14" ht="14.4" x14ac:dyDescent="0.3">
      <c r="A384" s="20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2"/>
    </row>
    <row r="385" spans="1:14" ht="14.4" x14ac:dyDescent="0.3">
      <c r="A385" s="20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2"/>
    </row>
    <row r="386" spans="1:14" ht="14.4" x14ac:dyDescent="0.3">
      <c r="A386" s="20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2"/>
    </row>
    <row r="387" spans="1:14" ht="14.4" x14ac:dyDescent="0.3">
      <c r="A387" s="20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2"/>
    </row>
    <row r="388" spans="1:14" ht="14.4" x14ac:dyDescent="0.3">
      <c r="A388" s="20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2"/>
    </row>
    <row r="389" spans="1:14" ht="14.4" x14ac:dyDescent="0.3">
      <c r="A389" s="20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2"/>
    </row>
    <row r="390" spans="1:14" ht="14.4" x14ac:dyDescent="0.3">
      <c r="A390" s="20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2"/>
    </row>
    <row r="391" spans="1:14" ht="14.4" x14ac:dyDescent="0.3">
      <c r="A391" s="20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2"/>
    </row>
    <row r="392" spans="1:14" ht="14.4" x14ac:dyDescent="0.3">
      <c r="A392" s="20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2"/>
    </row>
    <row r="393" spans="1:14" ht="14.4" x14ac:dyDescent="0.3">
      <c r="A393" s="20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2"/>
    </row>
    <row r="394" spans="1:14" ht="14.4" x14ac:dyDescent="0.3">
      <c r="A394" s="20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 ht="14.4" x14ac:dyDescent="0.3">
      <c r="A395" s="20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2"/>
    </row>
    <row r="396" spans="1:14" ht="14.4" x14ac:dyDescent="0.3">
      <c r="A396" s="20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2"/>
    </row>
    <row r="397" spans="1:14" ht="14.4" x14ac:dyDescent="0.3">
      <c r="A397" s="20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2"/>
    </row>
    <row r="398" spans="1:14" ht="14.4" x14ac:dyDescent="0.3">
      <c r="A398" s="20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2"/>
    </row>
    <row r="399" spans="1:14" ht="14.4" x14ac:dyDescent="0.3">
      <c r="A399" s="20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2"/>
    </row>
    <row r="400" spans="1:14" ht="14.4" x14ac:dyDescent="0.3">
      <c r="A400" s="20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2"/>
    </row>
    <row r="401" spans="1:14" ht="14.4" x14ac:dyDescent="0.3">
      <c r="A401" s="20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2"/>
    </row>
    <row r="402" spans="1:14" ht="14.4" x14ac:dyDescent="0.3">
      <c r="A402" s="20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2"/>
    </row>
    <row r="403" spans="1:14" ht="14.4" x14ac:dyDescent="0.3">
      <c r="A403" s="20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2"/>
    </row>
    <row r="404" spans="1:14" ht="14.4" x14ac:dyDescent="0.3">
      <c r="A404" s="20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 ht="14.4" x14ac:dyDescent="0.3">
      <c r="A405" s="20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2"/>
    </row>
    <row r="406" spans="1:14" ht="14.4" x14ac:dyDescent="0.3">
      <c r="A406" s="20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2"/>
    </row>
    <row r="407" spans="1:14" ht="14.4" x14ac:dyDescent="0.3">
      <c r="A407" s="20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2"/>
    </row>
    <row r="408" spans="1:14" ht="14.4" x14ac:dyDescent="0.3">
      <c r="A408" s="20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2"/>
    </row>
    <row r="409" spans="1:14" ht="14.4" x14ac:dyDescent="0.3">
      <c r="A409" s="20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2"/>
    </row>
    <row r="410" spans="1:14" ht="14.4" x14ac:dyDescent="0.3">
      <c r="A410" s="20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2"/>
    </row>
    <row r="411" spans="1:14" ht="14.4" x14ac:dyDescent="0.3">
      <c r="A411" s="20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2"/>
    </row>
    <row r="412" spans="1:14" ht="14.4" x14ac:dyDescent="0.3">
      <c r="A412" s="20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2"/>
    </row>
    <row r="413" spans="1:14" ht="14.4" x14ac:dyDescent="0.3">
      <c r="A413" s="20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2"/>
    </row>
    <row r="414" spans="1:14" ht="14.4" x14ac:dyDescent="0.3">
      <c r="A414" s="20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 ht="14.4" x14ac:dyDescent="0.3">
      <c r="A415" s="20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2"/>
    </row>
    <row r="416" spans="1:14" ht="14.4" x14ac:dyDescent="0.3">
      <c r="A416" s="20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2"/>
    </row>
    <row r="417" spans="1:14" ht="14.4" x14ac:dyDescent="0.3">
      <c r="A417" s="20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2"/>
    </row>
    <row r="418" spans="1:14" ht="14.4" x14ac:dyDescent="0.3">
      <c r="A418" s="20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2"/>
    </row>
    <row r="419" spans="1:14" ht="14.4" x14ac:dyDescent="0.3">
      <c r="A419" s="20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2"/>
    </row>
    <row r="420" spans="1:14" ht="14.4" x14ac:dyDescent="0.3">
      <c r="A420" s="20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2"/>
    </row>
    <row r="421" spans="1:14" ht="14.4" x14ac:dyDescent="0.3">
      <c r="A421" s="20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2"/>
    </row>
    <row r="422" spans="1:14" ht="14.4" x14ac:dyDescent="0.3">
      <c r="A422" s="20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2"/>
    </row>
    <row r="423" spans="1:14" ht="14.4" x14ac:dyDescent="0.3">
      <c r="A423" s="20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2"/>
    </row>
    <row r="424" spans="1:14" ht="14.4" x14ac:dyDescent="0.3">
      <c r="A424" s="20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 ht="14.4" x14ac:dyDescent="0.3">
      <c r="A425" s="20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2"/>
    </row>
    <row r="426" spans="1:14" ht="14.4" x14ac:dyDescent="0.3">
      <c r="A426" s="20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2"/>
    </row>
    <row r="427" spans="1:14" ht="14.4" x14ac:dyDescent="0.3">
      <c r="A427" s="20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2"/>
    </row>
    <row r="428" spans="1:14" ht="14.4" x14ac:dyDescent="0.3">
      <c r="A428" s="20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2"/>
    </row>
    <row r="429" spans="1:14" ht="14.4" x14ac:dyDescent="0.3">
      <c r="A429" s="20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2"/>
    </row>
    <row r="430" spans="1:14" ht="14.4" x14ac:dyDescent="0.3">
      <c r="A430" s="20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2"/>
    </row>
    <row r="431" spans="1:14" ht="14.4" x14ac:dyDescent="0.3">
      <c r="A431" s="20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2"/>
    </row>
    <row r="432" spans="1:14" ht="14.4" x14ac:dyDescent="0.3">
      <c r="A432" s="20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2"/>
    </row>
    <row r="433" spans="1:14" ht="14.4" x14ac:dyDescent="0.3">
      <c r="A433" s="20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2"/>
    </row>
    <row r="434" spans="1:14" ht="14.4" x14ac:dyDescent="0.3">
      <c r="A434" s="20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 ht="14.4" x14ac:dyDescent="0.3">
      <c r="A435" s="20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2"/>
    </row>
    <row r="436" spans="1:14" ht="14.4" x14ac:dyDescent="0.3">
      <c r="A436" s="20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2"/>
    </row>
    <row r="437" spans="1:14" ht="14.4" x14ac:dyDescent="0.3">
      <c r="A437" s="20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2"/>
    </row>
    <row r="438" spans="1:14" ht="14.4" x14ac:dyDescent="0.3">
      <c r="A438" s="20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2"/>
    </row>
    <row r="439" spans="1:14" ht="14.4" x14ac:dyDescent="0.3">
      <c r="A439" s="20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2"/>
    </row>
    <row r="440" spans="1:14" ht="14.4" x14ac:dyDescent="0.3">
      <c r="A440" s="20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2"/>
    </row>
    <row r="441" spans="1:14" ht="14.4" x14ac:dyDescent="0.3">
      <c r="A441" s="20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2"/>
    </row>
    <row r="442" spans="1:14" ht="14.4" x14ac:dyDescent="0.3">
      <c r="A442" s="20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2"/>
    </row>
    <row r="443" spans="1:14" ht="14.4" x14ac:dyDescent="0.3">
      <c r="A443" s="20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2"/>
    </row>
    <row r="444" spans="1:14" ht="14.4" x14ac:dyDescent="0.3">
      <c r="A444" s="20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2"/>
    </row>
    <row r="445" spans="1:14" ht="14.4" x14ac:dyDescent="0.3">
      <c r="A445" s="20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2"/>
    </row>
    <row r="446" spans="1:14" ht="14.4" x14ac:dyDescent="0.3">
      <c r="A446" s="20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2"/>
    </row>
    <row r="447" spans="1:14" ht="14.4" x14ac:dyDescent="0.3">
      <c r="A447" s="20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2"/>
    </row>
    <row r="448" spans="1:14" ht="14.4" x14ac:dyDescent="0.3">
      <c r="A448" s="20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2"/>
    </row>
    <row r="449" spans="1:14" ht="14.4" x14ac:dyDescent="0.3">
      <c r="A449" s="20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2"/>
    </row>
    <row r="450" spans="1:14" ht="14.4" x14ac:dyDescent="0.3">
      <c r="A450" s="20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2"/>
    </row>
    <row r="451" spans="1:14" ht="14.4" x14ac:dyDescent="0.3">
      <c r="A451" s="20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2"/>
    </row>
    <row r="452" spans="1:14" ht="14.4" x14ac:dyDescent="0.3">
      <c r="A452" s="20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2"/>
    </row>
    <row r="453" spans="1:14" ht="14.4" x14ac:dyDescent="0.3">
      <c r="A453" s="20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2"/>
    </row>
    <row r="454" spans="1:14" ht="14.4" x14ac:dyDescent="0.3">
      <c r="A454" s="20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2"/>
    </row>
    <row r="455" spans="1:14" ht="14.4" x14ac:dyDescent="0.3">
      <c r="A455" s="20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2"/>
    </row>
    <row r="456" spans="1:14" ht="14.4" x14ac:dyDescent="0.3">
      <c r="A456" s="20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2"/>
    </row>
    <row r="457" spans="1:14" ht="14.4" x14ac:dyDescent="0.3">
      <c r="A457" s="20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2"/>
    </row>
    <row r="458" spans="1:14" ht="14.4" x14ac:dyDescent="0.3">
      <c r="A458" s="20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2"/>
    </row>
    <row r="459" spans="1:14" ht="14.4" x14ac:dyDescent="0.3">
      <c r="A459" s="20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2"/>
    </row>
    <row r="460" spans="1:14" ht="14.4" x14ac:dyDescent="0.3">
      <c r="A460" s="20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2"/>
    </row>
    <row r="461" spans="1:14" ht="14.4" x14ac:dyDescent="0.3">
      <c r="A461" s="20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2"/>
    </row>
    <row r="462" spans="1:14" ht="14.4" x14ac:dyDescent="0.3">
      <c r="A462" s="20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2"/>
    </row>
    <row r="463" spans="1:14" ht="14.4" x14ac:dyDescent="0.3">
      <c r="A463" s="20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2"/>
    </row>
    <row r="464" spans="1:14" ht="14.4" x14ac:dyDescent="0.3">
      <c r="A464" s="20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2"/>
    </row>
    <row r="465" spans="1:14" ht="14.4" x14ac:dyDescent="0.3">
      <c r="A465" s="20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2"/>
    </row>
    <row r="466" spans="1:14" ht="14.4" x14ac:dyDescent="0.3">
      <c r="A466" s="20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2"/>
    </row>
    <row r="467" spans="1:14" ht="14.4" x14ac:dyDescent="0.3">
      <c r="A467" s="20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2"/>
    </row>
    <row r="468" spans="1:14" ht="14.4" x14ac:dyDescent="0.3">
      <c r="A468" s="20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2"/>
    </row>
    <row r="469" spans="1:14" ht="14.4" x14ac:dyDescent="0.3">
      <c r="A469" s="20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2"/>
    </row>
    <row r="470" spans="1:14" ht="14.4" x14ac:dyDescent="0.3">
      <c r="A470" s="20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2"/>
    </row>
    <row r="471" spans="1:14" ht="14.4" x14ac:dyDescent="0.3">
      <c r="A471" s="20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2"/>
    </row>
    <row r="472" spans="1:14" ht="14.4" x14ac:dyDescent="0.3">
      <c r="A472" s="20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2"/>
    </row>
    <row r="473" spans="1:14" ht="14.4" x14ac:dyDescent="0.3">
      <c r="A473" s="20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2"/>
    </row>
    <row r="474" spans="1:14" ht="14.4" x14ac:dyDescent="0.3">
      <c r="A474" s="20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2"/>
    </row>
    <row r="475" spans="1:14" ht="14.4" x14ac:dyDescent="0.3">
      <c r="A475" s="20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2"/>
    </row>
    <row r="476" spans="1:14" ht="14.4" x14ac:dyDescent="0.3">
      <c r="A476" s="20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2"/>
    </row>
    <row r="477" spans="1:14" ht="14.4" x14ac:dyDescent="0.3">
      <c r="A477" s="20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2"/>
    </row>
    <row r="478" spans="1:14" ht="14.4" x14ac:dyDescent="0.3">
      <c r="A478" s="20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2"/>
    </row>
    <row r="479" spans="1:14" ht="14.4" x14ac:dyDescent="0.3">
      <c r="A479" s="20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2"/>
    </row>
    <row r="480" spans="1:14" ht="14.4" x14ac:dyDescent="0.3">
      <c r="A480" s="20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2"/>
    </row>
    <row r="481" spans="1:14" ht="14.4" x14ac:dyDescent="0.3">
      <c r="A481" s="20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2"/>
    </row>
    <row r="482" spans="1:14" ht="14.4" x14ac:dyDescent="0.3">
      <c r="A482" s="20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2"/>
    </row>
    <row r="483" spans="1:14" ht="14.4" x14ac:dyDescent="0.3">
      <c r="A483" s="20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2"/>
    </row>
    <row r="484" spans="1:14" ht="14.4" x14ac:dyDescent="0.3">
      <c r="A484" s="20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2"/>
    </row>
    <row r="485" spans="1:14" ht="14.4" x14ac:dyDescent="0.3">
      <c r="A485" s="20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2"/>
    </row>
    <row r="486" spans="1:14" ht="14.4" x14ac:dyDescent="0.3">
      <c r="A486" s="20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2"/>
    </row>
    <row r="487" spans="1:14" ht="14.4" x14ac:dyDescent="0.3">
      <c r="A487" s="20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2"/>
    </row>
    <row r="488" spans="1:14" ht="14.4" x14ac:dyDescent="0.3">
      <c r="A488" s="20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2"/>
    </row>
    <row r="489" spans="1:14" ht="14.4" x14ac:dyDescent="0.3">
      <c r="A489" s="20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2"/>
    </row>
    <row r="490" spans="1:14" ht="14.4" x14ac:dyDescent="0.3">
      <c r="A490" s="20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2"/>
    </row>
    <row r="491" spans="1:14" ht="14.4" x14ac:dyDescent="0.3">
      <c r="A491" s="20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2"/>
    </row>
    <row r="492" spans="1:14" ht="14.4" x14ac:dyDescent="0.3">
      <c r="A492" s="20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2"/>
    </row>
    <row r="493" spans="1:14" ht="14.4" x14ac:dyDescent="0.3">
      <c r="A493" s="20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2"/>
    </row>
    <row r="494" spans="1:14" ht="14.4" x14ac:dyDescent="0.3">
      <c r="A494" s="20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2"/>
    </row>
    <row r="495" spans="1:14" ht="14.4" x14ac:dyDescent="0.3">
      <c r="A495" s="20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2"/>
    </row>
    <row r="496" spans="1:14" ht="14.4" x14ac:dyDescent="0.3">
      <c r="A496" s="20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2"/>
    </row>
    <row r="497" spans="1:14" ht="14.4" x14ac:dyDescent="0.3">
      <c r="A497" s="20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2"/>
    </row>
    <row r="498" spans="1:14" ht="14.4" x14ac:dyDescent="0.3">
      <c r="A498" s="20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2"/>
    </row>
    <row r="499" spans="1:14" ht="14.4" x14ac:dyDescent="0.3">
      <c r="A499" s="20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2"/>
    </row>
    <row r="500" spans="1:14" ht="14.4" x14ac:dyDescent="0.3">
      <c r="A500" s="20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2"/>
    </row>
    <row r="501" spans="1:14" ht="14.4" x14ac:dyDescent="0.3">
      <c r="A501" s="20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2"/>
    </row>
    <row r="502" spans="1:14" ht="14.4" x14ac:dyDescent="0.3">
      <c r="A502" s="20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2"/>
    </row>
    <row r="503" spans="1:14" ht="14.4" x14ac:dyDescent="0.3">
      <c r="A503" s="20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2"/>
    </row>
    <row r="504" spans="1:14" ht="14.4" x14ac:dyDescent="0.3">
      <c r="A504" s="20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 ht="14.4" x14ac:dyDescent="0.3">
      <c r="A505" s="20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2"/>
    </row>
    <row r="506" spans="1:14" ht="14.4" x14ac:dyDescent="0.3">
      <c r="A506" s="20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2"/>
    </row>
    <row r="507" spans="1:14" ht="14.4" x14ac:dyDescent="0.3">
      <c r="A507" s="20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2"/>
    </row>
    <row r="508" spans="1:14" ht="14.4" x14ac:dyDescent="0.3">
      <c r="A508" s="20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2"/>
    </row>
    <row r="509" spans="1:14" ht="14.4" x14ac:dyDescent="0.3">
      <c r="A509" s="20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2"/>
    </row>
    <row r="510" spans="1:14" ht="14.4" x14ac:dyDescent="0.3">
      <c r="A510" s="20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2"/>
    </row>
    <row r="511" spans="1:14" ht="14.4" x14ac:dyDescent="0.3">
      <c r="A511" s="20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2"/>
    </row>
    <row r="512" spans="1:14" ht="14.4" x14ac:dyDescent="0.3">
      <c r="A512" s="20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2"/>
    </row>
    <row r="513" spans="1:14" ht="14.4" x14ac:dyDescent="0.3">
      <c r="A513" s="20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2"/>
    </row>
    <row r="514" spans="1:14" ht="14.4" x14ac:dyDescent="0.3">
      <c r="A514" s="20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14.4" x14ac:dyDescent="0.3">
      <c r="A515" s="20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2"/>
    </row>
    <row r="516" spans="1:14" ht="14.4" x14ac:dyDescent="0.3">
      <c r="A516" s="20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2"/>
    </row>
    <row r="517" spans="1:14" ht="14.4" x14ac:dyDescent="0.3">
      <c r="A517" s="20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2"/>
    </row>
    <row r="518" spans="1:14" ht="14.4" x14ac:dyDescent="0.3">
      <c r="A518" s="20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2"/>
    </row>
    <row r="519" spans="1:14" ht="14.4" x14ac:dyDescent="0.3">
      <c r="A519" s="20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2"/>
    </row>
    <row r="520" spans="1:14" ht="14.4" x14ac:dyDescent="0.3">
      <c r="A520" s="20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2"/>
    </row>
    <row r="521" spans="1:14" ht="14.4" x14ac:dyDescent="0.3">
      <c r="A521" s="20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2"/>
    </row>
    <row r="522" spans="1:14" ht="14.4" x14ac:dyDescent="0.3">
      <c r="A522" s="20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2"/>
    </row>
    <row r="523" spans="1:14" ht="14.4" x14ac:dyDescent="0.3">
      <c r="A523" s="20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2"/>
    </row>
    <row r="524" spans="1:14" ht="14.4" x14ac:dyDescent="0.3">
      <c r="A524" s="20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2"/>
    </row>
    <row r="525" spans="1:14" ht="14.4" x14ac:dyDescent="0.3">
      <c r="A525" s="20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2"/>
    </row>
    <row r="526" spans="1:14" ht="14.4" x14ac:dyDescent="0.3">
      <c r="A526" s="20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2"/>
    </row>
    <row r="527" spans="1:14" ht="14.4" x14ac:dyDescent="0.3">
      <c r="A527" s="20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2"/>
    </row>
    <row r="528" spans="1:14" ht="14.4" x14ac:dyDescent="0.3">
      <c r="A528" s="20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2"/>
    </row>
    <row r="529" spans="1:14" ht="14.4" x14ac:dyDescent="0.3">
      <c r="A529" s="20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2"/>
    </row>
    <row r="530" spans="1:14" ht="14.4" x14ac:dyDescent="0.3">
      <c r="A530" s="20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2"/>
    </row>
    <row r="531" spans="1:14" ht="14.4" x14ac:dyDescent="0.3">
      <c r="A531" s="20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2"/>
    </row>
    <row r="532" spans="1:14" ht="14.4" x14ac:dyDescent="0.3">
      <c r="A532" s="20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2"/>
    </row>
    <row r="533" spans="1:14" ht="14.4" x14ac:dyDescent="0.3">
      <c r="A533" s="20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2"/>
    </row>
    <row r="534" spans="1:14" ht="14.4" x14ac:dyDescent="0.3">
      <c r="A534" s="20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</row>
    <row r="535" spans="1:14" ht="14.4" x14ac:dyDescent="0.3">
      <c r="A535" s="20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2"/>
    </row>
    <row r="536" spans="1:14" ht="14.4" x14ac:dyDescent="0.3">
      <c r="A536" s="20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2"/>
    </row>
    <row r="537" spans="1:14" ht="14.4" x14ac:dyDescent="0.3">
      <c r="A537" s="20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2"/>
    </row>
    <row r="538" spans="1:14" ht="14.4" x14ac:dyDescent="0.3">
      <c r="A538" s="20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2"/>
    </row>
    <row r="539" spans="1:14" ht="14.4" x14ac:dyDescent="0.3">
      <c r="A539" s="20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2"/>
    </row>
    <row r="540" spans="1:14" ht="14.4" x14ac:dyDescent="0.3">
      <c r="A540" s="20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2"/>
    </row>
    <row r="541" spans="1:14" ht="14.4" x14ac:dyDescent="0.3">
      <c r="A541" s="20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2"/>
    </row>
    <row r="542" spans="1:14" ht="14.4" x14ac:dyDescent="0.3">
      <c r="A542" s="20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2"/>
    </row>
    <row r="543" spans="1:14" ht="14.4" x14ac:dyDescent="0.3">
      <c r="A543" s="20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2"/>
    </row>
    <row r="544" spans="1:14" ht="14.4" x14ac:dyDescent="0.3">
      <c r="A544" s="20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2"/>
    </row>
    <row r="545" spans="1:14" ht="14.4" x14ac:dyDescent="0.3">
      <c r="A545" s="20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2"/>
    </row>
    <row r="546" spans="1:14" ht="14.4" x14ac:dyDescent="0.3">
      <c r="A546" s="20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2"/>
    </row>
    <row r="547" spans="1:14" ht="14.4" x14ac:dyDescent="0.3">
      <c r="A547" s="20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2"/>
    </row>
    <row r="548" spans="1:14" ht="14.4" x14ac:dyDescent="0.3">
      <c r="A548" s="20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2"/>
    </row>
    <row r="549" spans="1:14" ht="14.4" x14ac:dyDescent="0.3">
      <c r="A549" s="20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2"/>
    </row>
    <row r="550" spans="1:14" ht="14.4" x14ac:dyDescent="0.3">
      <c r="A550" s="20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2"/>
    </row>
    <row r="551" spans="1:14" ht="14.4" x14ac:dyDescent="0.3">
      <c r="A551" s="20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2"/>
    </row>
    <row r="552" spans="1:14" ht="14.4" x14ac:dyDescent="0.3">
      <c r="A552" s="20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2"/>
    </row>
    <row r="553" spans="1:14" ht="14.4" x14ac:dyDescent="0.3">
      <c r="A553" s="20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2"/>
    </row>
    <row r="554" spans="1:14" ht="14.4" x14ac:dyDescent="0.3">
      <c r="A554" s="20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2"/>
    </row>
    <row r="555" spans="1:14" ht="14.4" x14ac:dyDescent="0.3">
      <c r="A555" s="20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2"/>
    </row>
    <row r="556" spans="1:14" ht="14.4" x14ac:dyDescent="0.3">
      <c r="A556" s="20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2"/>
    </row>
    <row r="557" spans="1:14" ht="14.4" x14ac:dyDescent="0.3">
      <c r="A557" s="20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2"/>
    </row>
    <row r="558" spans="1:14" ht="14.4" x14ac:dyDescent="0.3">
      <c r="A558" s="20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2"/>
    </row>
    <row r="559" spans="1:14" ht="14.4" x14ac:dyDescent="0.3">
      <c r="A559" s="20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2"/>
    </row>
    <row r="560" spans="1:14" ht="14.4" x14ac:dyDescent="0.3">
      <c r="A560" s="20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2"/>
    </row>
    <row r="561" spans="1:14" ht="14.4" x14ac:dyDescent="0.3">
      <c r="A561" s="20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2"/>
    </row>
    <row r="562" spans="1:14" ht="14.4" x14ac:dyDescent="0.3">
      <c r="A562" s="20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2"/>
    </row>
    <row r="563" spans="1:14" ht="14.4" x14ac:dyDescent="0.3">
      <c r="A563" s="20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2"/>
    </row>
    <row r="564" spans="1:14" ht="14.4" x14ac:dyDescent="0.3">
      <c r="A564" s="20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2"/>
    </row>
    <row r="565" spans="1:14" ht="14.4" x14ac:dyDescent="0.3">
      <c r="A565" s="20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2"/>
    </row>
    <row r="566" spans="1:14" ht="14.4" x14ac:dyDescent="0.3">
      <c r="A566" s="20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2"/>
    </row>
    <row r="567" spans="1:14" ht="14.4" x14ac:dyDescent="0.3">
      <c r="A567" s="20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2"/>
    </row>
    <row r="568" spans="1:14" ht="14.4" x14ac:dyDescent="0.3">
      <c r="A568" s="20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2"/>
    </row>
    <row r="569" spans="1:14" ht="14.4" x14ac:dyDescent="0.3">
      <c r="A569" s="20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2"/>
    </row>
    <row r="570" spans="1:14" ht="14.4" x14ac:dyDescent="0.3">
      <c r="A570" s="20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2"/>
    </row>
    <row r="571" spans="1:14" ht="14.4" x14ac:dyDescent="0.3">
      <c r="A571" s="20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2"/>
    </row>
    <row r="572" spans="1:14" ht="14.4" x14ac:dyDescent="0.3">
      <c r="A572" s="20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2"/>
    </row>
    <row r="573" spans="1:14" ht="14.4" x14ac:dyDescent="0.3">
      <c r="A573" s="20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2"/>
    </row>
    <row r="574" spans="1:14" ht="14.4" x14ac:dyDescent="0.3">
      <c r="A574" s="20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2"/>
    </row>
    <row r="575" spans="1:14" ht="14.4" x14ac:dyDescent="0.3">
      <c r="A575" s="20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2"/>
    </row>
    <row r="576" spans="1:14" ht="14.4" x14ac:dyDescent="0.3">
      <c r="A576" s="20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2"/>
    </row>
    <row r="577" spans="1:14" ht="14.4" x14ac:dyDescent="0.3">
      <c r="A577" s="20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2"/>
    </row>
    <row r="578" spans="1:14" ht="14.4" x14ac:dyDescent="0.3">
      <c r="A578" s="20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2"/>
    </row>
    <row r="579" spans="1:14" ht="14.4" x14ac:dyDescent="0.3">
      <c r="A579" s="20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2"/>
    </row>
    <row r="580" spans="1:14" ht="14.4" x14ac:dyDescent="0.3">
      <c r="A580" s="20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2"/>
    </row>
    <row r="581" spans="1:14" ht="14.4" x14ac:dyDescent="0.3">
      <c r="A581" s="20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2"/>
    </row>
    <row r="582" spans="1:14" ht="14.4" x14ac:dyDescent="0.3">
      <c r="A582" s="20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2"/>
    </row>
    <row r="583" spans="1:14" ht="14.4" x14ac:dyDescent="0.3">
      <c r="A583" s="20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2"/>
    </row>
    <row r="584" spans="1:14" ht="14.4" x14ac:dyDescent="0.3">
      <c r="A584" s="20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2"/>
    </row>
    <row r="585" spans="1:14" ht="14.4" x14ac:dyDescent="0.3">
      <c r="A585" s="20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2"/>
    </row>
    <row r="586" spans="1:14" ht="14.4" x14ac:dyDescent="0.3">
      <c r="A586" s="20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2"/>
    </row>
    <row r="587" spans="1:14" ht="14.4" x14ac:dyDescent="0.3">
      <c r="A587" s="20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2"/>
    </row>
    <row r="588" spans="1:14" ht="14.4" x14ac:dyDescent="0.3">
      <c r="A588" s="20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2"/>
    </row>
    <row r="589" spans="1:14" ht="14.4" x14ac:dyDescent="0.3">
      <c r="A589" s="20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2"/>
    </row>
    <row r="590" spans="1:14" ht="14.4" x14ac:dyDescent="0.3">
      <c r="A590" s="20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2"/>
    </row>
    <row r="591" spans="1:14" ht="14.4" x14ac:dyDescent="0.3">
      <c r="A591" s="20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2"/>
    </row>
    <row r="592" spans="1:14" ht="14.4" x14ac:dyDescent="0.3">
      <c r="A592" s="20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2"/>
    </row>
    <row r="593" spans="1:14" ht="14.4" x14ac:dyDescent="0.3">
      <c r="A593" s="20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2"/>
    </row>
    <row r="594" spans="1:14" ht="14.4" x14ac:dyDescent="0.3">
      <c r="A594" s="20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2"/>
    </row>
    <row r="595" spans="1:14" ht="14.4" x14ac:dyDescent="0.3">
      <c r="A595" s="20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2"/>
    </row>
    <row r="596" spans="1:14" ht="14.4" x14ac:dyDescent="0.3">
      <c r="A596" s="20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2"/>
    </row>
    <row r="597" spans="1:14" ht="14.4" x14ac:dyDescent="0.3">
      <c r="A597" s="20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2"/>
    </row>
    <row r="598" spans="1:14" ht="14.4" x14ac:dyDescent="0.3">
      <c r="A598" s="20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2"/>
    </row>
    <row r="599" spans="1:14" ht="14.4" x14ac:dyDescent="0.3">
      <c r="A599" s="20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2"/>
    </row>
    <row r="600" spans="1:14" ht="14.4" x14ac:dyDescent="0.3">
      <c r="A600" s="20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2"/>
    </row>
    <row r="601" spans="1:14" ht="14.4" x14ac:dyDescent="0.3">
      <c r="A601" s="20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2"/>
    </row>
    <row r="602" spans="1:14" ht="14.4" x14ac:dyDescent="0.3">
      <c r="A602" s="20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2"/>
    </row>
    <row r="603" spans="1:14" ht="14.4" x14ac:dyDescent="0.3">
      <c r="A603" s="20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2"/>
    </row>
    <row r="604" spans="1:14" ht="14.4" x14ac:dyDescent="0.3">
      <c r="A604" s="20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2"/>
    </row>
    <row r="605" spans="1:14" ht="14.4" x14ac:dyDescent="0.3">
      <c r="A605" s="20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2"/>
    </row>
    <row r="606" spans="1:14" ht="14.4" x14ac:dyDescent="0.3">
      <c r="A606" s="20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2"/>
    </row>
    <row r="607" spans="1:14" ht="14.4" x14ac:dyDescent="0.3">
      <c r="A607" s="20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2"/>
    </row>
    <row r="608" spans="1:14" ht="14.4" x14ac:dyDescent="0.3">
      <c r="A608" s="20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2"/>
    </row>
    <row r="609" spans="1:14" ht="14.4" x14ac:dyDescent="0.3">
      <c r="A609" s="20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2"/>
    </row>
    <row r="610" spans="1:14" ht="14.4" x14ac:dyDescent="0.3">
      <c r="A610" s="20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2"/>
    </row>
    <row r="611" spans="1:14" ht="14.4" x14ac:dyDescent="0.3">
      <c r="A611" s="20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2"/>
    </row>
    <row r="612" spans="1:14" ht="14.4" x14ac:dyDescent="0.3">
      <c r="A612" s="20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2"/>
    </row>
    <row r="613" spans="1:14" ht="14.4" x14ac:dyDescent="0.3">
      <c r="A613" s="20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2"/>
    </row>
    <row r="614" spans="1:14" ht="14.4" x14ac:dyDescent="0.3">
      <c r="A614" s="20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2"/>
    </row>
    <row r="615" spans="1:14" ht="14.4" x14ac:dyDescent="0.3">
      <c r="A615" s="20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2"/>
    </row>
    <row r="616" spans="1:14" ht="14.4" x14ac:dyDescent="0.3">
      <c r="A616" s="20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2"/>
    </row>
    <row r="617" spans="1:14" ht="14.4" x14ac:dyDescent="0.3">
      <c r="A617" s="20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2"/>
    </row>
    <row r="618" spans="1:14" ht="14.4" x14ac:dyDescent="0.3">
      <c r="A618" s="20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2"/>
    </row>
    <row r="619" spans="1:14" ht="14.4" x14ac:dyDescent="0.3">
      <c r="A619" s="20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2"/>
    </row>
    <row r="620" spans="1:14" ht="14.4" x14ac:dyDescent="0.3">
      <c r="A620" s="20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2"/>
    </row>
    <row r="621" spans="1:14" ht="14.4" x14ac:dyDescent="0.3">
      <c r="A621" s="20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2"/>
    </row>
    <row r="622" spans="1:14" ht="14.4" x14ac:dyDescent="0.3">
      <c r="A622" s="20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2"/>
    </row>
    <row r="623" spans="1:14" ht="14.4" x14ac:dyDescent="0.3">
      <c r="A623" s="20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2"/>
    </row>
    <row r="624" spans="1:14" ht="14.4" x14ac:dyDescent="0.3">
      <c r="A624" s="20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2"/>
    </row>
    <row r="625" spans="1:14" ht="14.4" x14ac:dyDescent="0.3">
      <c r="A625" s="20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2"/>
    </row>
    <row r="626" spans="1:14" ht="14.4" x14ac:dyDescent="0.3">
      <c r="A626" s="20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2"/>
    </row>
    <row r="627" spans="1:14" ht="14.4" x14ac:dyDescent="0.3">
      <c r="A627" s="20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2"/>
    </row>
    <row r="628" spans="1:14" ht="14.4" x14ac:dyDescent="0.3">
      <c r="A628" s="20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2"/>
    </row>
    <row r="629" spans="1:14" ht="14.4" x14ac:dyDescent="0.3">
      <c r="A629" s="20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2"/>
    </row>
    <row r="630" spans="1:14" ht="14.4" x14ac:dyDescent="0.3">
      <c r="A630" s="20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2"/>
    </row>
    <row r="631" spans="1:14" ht="14.4" x14ac:dyDescent="0.3">
      <c r="A631" s="20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2"/>
    </row>
    <row r="632" spans="1:14" ht="14.4" x14ac:dyDescent="0.3">
      <c r="A632" s="20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2"/>
    </row>
    <row r="633" spans="1:14" ht="14.4" x14ac:dyDescent="0.3">
      <c r="A633" s="20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2"/>
    </row>
    <row r="634" spans="1:14" ht="14.4" x14ac:dyDescent="0.3">
      <c r="A634" s="20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2"/>
    </row>
    <row r="635" spans="1:14" ht="14.4" x14ac:dyDescent="0.3">
      <c r="A635" s="20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2"/>
    </row>
    <row r="636" spans="1:14" ht="14.4" x14ac:dyDescent="0.3">
      <c r="A636" s="20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2"/>
    </row>
    <row r="637" spans="1:14" ht="14.4" x14ac:dyDescent="0.3">
      <c r="A637" s="20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2"/>
    </row>
    <row r="638" spans="1:14" ht="14.4" x14ac:dyDescent="0.3">
      <c r="A638" s="20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2"/>
    </row>
    <row r="639" spans="1:14" ht="14.4" x14ac:dyDescent="0.3">
      <c r="A639" s="20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2"/>
    </row>
    <row r="640" spans="1:14" ht="14.4" x14ac:dyDescent="0.3">
      <c r="A640" s="20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2"/>
    </row>
    <row r="641" spans="1:14" ht="14.4" x14ac:dyDescent="0.3">
      <c r="A641" s="20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2"/>
    </row>
    <row r="642" spans="1:14" ht="14.4" x14ac:dyDescent="0.3">
      <c r="A642" s="20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2"/>
    </row>
    <row r="643" spans="1:14" ht="14.4" x14ac:dyDescent="0.3">
      <c r="A643" s="20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2"/>
    </row>
    <row r="644" spans="1:14" ht="14.4" x14ac:dyDescent="0.3">
      <c r="A644" s="20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2"/>
    </row>
    <row r="645" spans="1:14" ht="14.4" x14ac:dyDescent="0.3">
      <c r="A645" s="20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2"/>
    </row>
    <row r="646" spans="1:14" ht="14.4" x14ac:dyDescent="0.3">
      <c r="A646" s="20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2"/>
    </row>
    <row r="647" spans="1:14" ht="14.4" x14ac:dyDescent="0.3">
      <c r="A647" s="20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2"/>
    </row>
    <row r="648" spans="1:14" ht="14.4" x14ac:dyDescent="0.3">
      <c r="A648" s="20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2"/>
    </row>
    <row r="649" spans="1:14" ht="14.4" x14ac:dyDescent="0.3">
      <c r="A649" s="20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2"/>
    </row>
    <row r="650" spans="1:14" ht="14.4" x14ac:dyDescent="0.3">
      <c r="A650" s="20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2"/>
    </row>
    <row r="651" spans="1:14" ht="14.4" x14ac:dyDescent="0.3">
      <c r="A651" s="20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2"/>
    </row>
    <row r="652" spans="1:14" ht="14.4" x14ac:dyDescent="0.3">
      <c r="A652" s="20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2"/>
    </row>
    <row r="653" spans="1:14" ht="14.4" x14ac:dyDescent="0.3">
      <c r="A653" s="20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2"/>
    </row>
    <row r="654" spans="1:14" ht="14.4" x14ac:dyDescent="0.3">
      <c r="A654" s="20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2"/>
    </row>
    <row r="655" spans="1:14" ht="14.4" x14ac:dyDescent="0.3">
      <c r="A655" s="20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2"/>
    </row>
    <row r="656" spans="1:14" ht="14.4" x14ac:dyDescent="0.3">
      <c r="A656" s="20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2"/>
    </row>
    <row r="657" spans="1:14" ht="14.4" x14ac:dyDescent="0.3">
      <c r="A657" s="20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2"/>
    </row>
    <row r="658" spans="1:14" ht="14.4" x14ac:dyDescent="0.3">
      <c r="A658" s="20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2"/>
    </row>
    <row r="659" spans="1:14" ht="14.4" x14ac:dyDescent="0.3">
      <c r="A659" s="20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2"/>
    </row>
    <row r="660" spans="1:14" ht="14.4" x14ac:dyDescent="0.3">
      <c r="A660" s="20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2"/>
    </row>
    <row r="661" spans="1:14" ht="14.4" x14ac:dyDescent="0.3">
      <c r="A661" s="20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2"/>
    </row>
    <row r="662" spans="1:14" ht="14.4" x14ac:dyDescent="0.3">
      <c r="A662" s="20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2"/>
    </row>
    <row r="663" spans="1:14" ht="14.4" x14ac:dyDescent="0.3">
      <c r="A663" s="20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2"/>
    </row>
    <row r="664" spans="1:14" ht="14.4" x14ac:dyDescent="0.3">
      <c r="A664" s="20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2"/>
    </row>
    <row r="665" spans="1:14" ht="14.4" x14ac:dyDescent="0.3">
      <c r="A665" s="20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2"/>
    </row>
    <row r="666" spans="1:14" ht="14.4" x14ac:dyDescent="0.3">
      <c r="A666" s="20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2"/>
    </row>
    <row r="667" spans="1:14" ht="14.4" x14ac:dyDescent="0.3">
      <c r="A667" s="20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2"/>
    </row>
    <row r="668" spans="1:14" ht="14.4" x14ac:dyDescent="0.3">
      <c r="A668" s="20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2"/>
    </row>
    <row r="669" spans="1:14" ht="14.4" x14ac:dyDescent="0.3">
      <c r="A669" s="20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2"/>
    </row>
    <row r="670" spans="1:14" ht="14.4" x14ac:dyDescent="0.3">
      <c r="A670" s="20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2"/>
    </row>
    <row r="671" spans="1:14" ht="14.4" x14ac:dyDescent="0.3">
      <c r="A671" s="20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2"/>
    </row>
    <row r="672" spans="1:14" ht="14.4" x14ac:dyDescent="0.3">
      <c r="A672" s="20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2"/>
    </row>
    <row r="673" spans="1:14" ht="14.4" x14ac:dyDescent="0.3">
      <c r="A673" s="20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2"/>
    </row>
    <row r="674" spans="1:14" ht="14.4" x14ac:dyDescent="0.3">
      <c r="A674" s="20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2"/>
    </row>
    <row r="675" spans="1:14" ht="14.4" x14ac:dyDescent="0.3">
      <c r="A675" s="20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2"/>
    </row>
    <row r="676" spans="1:14" ht="14.4" x14ac:dyDescent="0.3">
      <c r="A676" s="20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2"/>
    </row>
    <row r="677" spans="1:14" ht="14.4" x14ac:dyDescent="0.3">
      <c r="A677" s="20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2"/>
    </row>
    <row r="678" spans="1:14" ht="14.4" x14ac:dyDescent="0.3">
      <c r="A678" s="20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2"/>
    </row>
    <row r="679" spans="1:14" ht="14.4" x14ac:dyDescent="0.3">
      <c r="A679" s="20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2"/>
    </row>
    <row r="680" spans="1:14" ht="14.4" x14ac:dyDescent="0.3">
      <c r="A680" s="20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2"/>
    </row>
    <row r="681" spans="1:14" ht="14.4" x14ac:dyDescent="0.3">
      <c r="A681" s="20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2"/>
    </row>
    <row r="682" spans="1:14" ht="14.4" x14ac:dyDescent="0.3">
      <c r="A682" s="20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2"/>
    </row>
    <row r="683" spans="1:14" ht="14.4" x14ac:dyDescent="0.3">
      <c r="A683" s="20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2"/>
    </row>
    <row r="684" spans="1:14" ht="14.4" x14ac:dyDescent="0.3">
      <c r="A684" s="20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2"/>
    </row>
    <row r="685" spans="1:14" ht="14.4" x14ac:dyDescent="0.3">
      <c r="A685" s="20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2"/>
    </row>
    <row r="686" spans="1:14" ht="14.4" x14ac:dyDescent="0.3">
      <c r="A686" s="20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2"/>
    </row>
    <row r="687" spans="1:14" ht="14.4" x14ac:dyDescent="0.3">
      <c r="A687" s="20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2"/>
    </row>
    <row r="688" spans="1:14" ht="14.4" x14ac:dyDescent="0.3">
      <c r="A688" s="20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2"/>
    </row>
    <row r="689" spans="1:14" ht="14.4" x14ac:dyDescent="0.3">
      <c r="A689" s="20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2"/>
    </row>
    <row r="690" spans="1:14" ht="14.4" x14ac:dyDescent="0.3">
      <c r="A690" s="20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2"/>
    </row>
    <row r="691" spans="1:14" ht="14.4" x14ac:dyDescent="0.3">
      <c r="A691" s="20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2"/>
    </row>
    <row r="692" spans="1:14" ht="14.4" x14ac:dyDescent="0.3">
      <c r="A692" s="20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2"/>
    </row>
    <row r="693" spans="1:14" ht="14.4" x14ac:dyDescent="0.3">
      <c r="A693" s="20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2"/>
    </row>
    <row r="694" spans="1:14" ht="14.4" x14ac:dyDescent="0.3">
      <c r="A694" s="20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2"/>
    </row>
    <row r="695" spans="1:14" ht="14.4" x14ac:dyDescent="0.3">
      <c r="A695" s="20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2"/>
    </row>
    <row r="696" spans="1:14" ht="14.4" x14ac:dyDescent="0.3">
      <c r="A696" s="20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2"/>
    </row>
    <row r="697" spans="1:14" ht="14.4" x14ac:dyDescent="0.3">
      <c r="A697" s="20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2"/>
    </row>
    <row r="698" spans="1:14" ht="14.4" x14ac:dyDescent="0.3">
      <c r="A698" s="20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2"/>
    </row>
    <row r="699" spans="1:14" ht="14.4" x14ac:dyDescent="0.3">
      <c r="A699" s="20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2"/>
    </row>
    <row r="700" spans="1:14" ht="14.4" x14ac:dyDescent="0.3">
      <c r="A700" s="20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2"/>
    </row>
    <row r="701" spans="1:14" ht="14.4" x14ac:dyDescent="0.3">
      <c r="A701" s="20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2"/>
    </row>
    <row r="702" spans="1:14" ht="14.4" x14ac:dyDescent="0.3">
      <c r="A702" s="20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2"/>
    </row>
    <row r="703" spans="1:14" ht="14.4" x14ac:dyDescent="0.3">
      <c r="A703" s="20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2"/>
    </row>
    <row r="704" spans="1:14" ht="14.4" x14ac:dyDescent="0.3">
      <c r="A704" s="20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2"/>
    </row>
    <row r="705" spans="1:14" ht="14.4" x14ac:dyDescent="0.3">
      <c r="A705" s="20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2"/>
    </row>
    <row r="706" spans="1:14" ht="14.4" x14ac:dyDescent="0.3">
      <c r="A706" s="20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2"/>
    </row>
    <row r="707" spans="1:14" ht="14.4" x14ac:dyDescent="0.3">
      <c r="A707" s="20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2"/>
    </row>
    <row r="708" spans="1:14" ht="14.4" x14ac:dyDescent="0.3">
      <c r="A708" s="20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2"/>
    </row>
    <row r="709" spans="1:14" ht="14.4" x14ac:dyDescent="0.3">
      <c r="A709" s="20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2"/>
    </row>
    <row r="710" spans="1:14" ht="14.4" x14ac:dyDescent="0.3">
      <c r="A710" s="20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2"/>
    </row>
    <row r="711" spans="1:14" ht="14.4" x14ac:dyDescent="0.3">
      <c r="A711" s="20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2"/>
    </row>
    <row r="712" spans="1:14" ht="14.4" x14ac:dyDescent="0.3">
      <c r="A712" s="20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2"/>
    </row>
    <row r="713" spans="1:14" ht="14.4" x14ac:dyDescent="0.3">
      <c r="A713" s="20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2"/>
    </row>
    <row r="714" spans="1:14" ht="14.4" x14ac:dyDescent="0.3">
      <c r="A714" s="20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2"/>
    </row>
    <row r="715" spans="1:14" ht="14.4" x14ac:dyDescent="0.3">
      <c r="A715" s="20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2"/>
    </row>
    <row r="716" spans="1:14" ht="14.4" x14ac:dyDescent="0.3">
      <c r="A716" s="20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2"/>
    </row>
    <row r="717" spans="1:14" ht="14.4" x14ac:dyDescent="0.3">
      <c r="A717" s="20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2"/>
    </row>
    <row r="718" spans="1:14" ht="14.4" x14ac:dyDescent="0.3">
      <c r="A718" s="20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2"/>
    </row>
    <row r="719" spans="1:14" ht="14.4" x14ac:dyDescent="0.3">
      <c r="A719" s="20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2"/>
    </row>
    <row r="720" spans="1:14" ht="14.4" x14ac:dyDescent="0.3">
      <c r="A720" s="20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2"/>
    </row>
    <row r="721" spans="1:14" ht="14.4" x14ac:dyDescent="0.3">
      <c r="A721" s="20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2"/>
    </row>
    <row r="722" spans="1:14" ht="14.4" x14ac:dyDescent="0.3">
      <c r="A722" s="20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2"/>
    </row>
    <row r="723" spans="1:14" ht="14.4" x14ac:dyDescent="0.3">
      <c r="A723" s="20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2"/>
    </row>
    <row r="724" spans="1:14" ht="14.4" x14ac:dyDescent="0.3">
      <c r="A724" s="20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2"/>
    </row>
    <row r="725" spans="1:14" ht="14.4" x14ac:dyDescent="0.3">
      <c r="A725" s="20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2"/>
    </row>
    <row r="726" spans="1:14" ht="14.4" x14ac:dyDescent="0.3">
      <c r="A726" s="20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2"/>
    </row>
    <row r="727" spans="1:14" ht="14.4" x14ac:dyDescent="0.3">
      <c r="A727" s="20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2"/>
    </row>
    <row r="728" spans="1:14" ht="14.4" x14ac:dyDescent="0.3">
      <c r="A728" s="20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2"/>
    </row>
    <row r="729" spans="1:14" ht="14.4" x14ac:dyDescent="0.3">
      <c r="A729" s="20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2"/>
    </row>
    <row r="730" spans="1:14" ht="14.4" x14ac:dyDescent="0.3">
      <c r="A730" s="20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</row>
    <row r="731" spans="1:14" ht="14.4" x14ac:dyDescent="0.3">
      <c r="A731" s="20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2"/>
    </row>
    <row r="732" spans="1:14" ht="14.4" x14ac:dyDescent="0.3">
      <c r="A732" s="20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2"/>
    </row>
    <row r="733" spans="1:14" ht="14.4" x14ac:dyDescent="0.3">
      <c r="A733" s="20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2"/>
    </row>
    <row r="734" spans="1:14" ht="14.4" x14ac:dyDescent="0.3">
      <c r="A734" s="20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2"/>
    </row>
    <row r="735" spans="1:14" ht="14.4" x14ac:dyDescent="0.3">
      <c r="A735" s="20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2"/>
    </row>
    <row r="736" spans="1:14" ht="14.4" x14ac:dyDescent="0.3">
      <c r="A736" s="20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2"/>
    </row>
    <row r="737" spans="1:14" ht="14.4" x14ac:dyDescent="0.3">
      <c r="A737" s="20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2"/>
    </row>
    <row r="738" spans="1:14" ht="14.4" x14ac:dyDescent="0.3">
      <c r="A738" s="20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2"/>
    </row>
    <row r="739" spans="1:14" ht="14.4" x14ac:dyDescent="0.3">
      <c r="A739" s="20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2"/>
    </row>
    <row r="740" spans="1:14" ht="14.4" x14ac:dyDescent="0.3">
      <c r="A740" s="20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2"/>
    </row>
    <row r="741" spans="1:14" ht="14.4" x14ac:dyDescent="0.3">
      <c r="A741" s="20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2"/>
    </row>
    <row r="742" spans="1:14" ht="14.4" x14ac:dyDescent="0.3">
      <c r="A742" s="20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2"/>
    </row>
    <row r="743" spans="1:14" ht="14.4" x14ac:dyDescent="0.3">
      <c r="A743" s="20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2"/>
    </row>
    <row r="744" spans="1:14" ht="14.4" x14ac:dyDescent="0.3">
      <c r="A744" s="20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2"/>
    </row>
    <row r="745" spans="1:14" ht="14.4" x14ac:dyDescent="0.3">
      <c r="A745" s="20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2"/>
    </row>
    <row r="746" spans="1:14" ht="14.4" x14ac:dyDescent="0.3">
      <c r="A746" s="20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</row>
    <row r="747" spans="1:14" ht="14.4" x14ac:dyDescent="0.3">
      <c r="A747" s="20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2"/>
    </row>
    <row r="748" spans="1:14" ht="14.4" x14ac:dyDescent="0.3">
      <c r="A748" s="20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2"/>
    </row>
    <row r="749" spans="1:14" ht="14.4" x14ac:dyDescent="0.3">
      <c r="A749" s="20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2"/>
    </row>
    <row r="750" spans="1:14" ht="14.4" x14ac:dyDescent="0.3">
      <c r="A750" s="20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2"/>
    </row>
    <row r="751" spans="1:14" ht="14.4" x14ac:dyDescent="0.3">
      <c r="A751" s="20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2"/>
    </row>
    <row r="752" spans="1:14" ht="14.4" x14ac:dyDescent="0.3">
      <c r="A752" s="20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2"/>
    </row>
    <row r="753" spans="1:14" ht="14.4" x14ac:dyDescent="0.3">
      <c r="A753" s="20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2"/>
    </row>
    <row r="754" spans="1:14" ht="14.4" x14ac:dyDescent="0.3">
      <c r="A754" s="20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2"/>
    </row>
    <row r="755" spans="1:14" ht="14.4" x14ac:dyDescent="0.3">
      <c r="A755" s="20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2"/>
    </row>
    <row r="756" spans="1:14" ht="14.4" x14ac:dyDescent="0.3">
      <c r="A756" s="20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2"/>
    </row>
    <row r="757" spans="1:14" ht="14.4" x14ac:dyDescent="0.3">
      <c r="A757" s="20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2"/>
    </row>
    <row r="758" spans="1:14" ht="14.4" x14ac:dyDescent="0.3">
      <c r="A758" s="20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2"/>
    </row>
    <row r="759" spans="1:14" ht="14.4" x14ac:dyDescent="0.3">
      <c r="A759" s="20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2"/>
    </row>
    <row r="760" spans="1:14" ht="14.4" x14ac:dyDescent="0.3">
      <c r="A760" s="20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2"/>
    </row>
    <row r="761" spans="1:14" ht="14.4" x14ac:dyDescent="0.3">
      <c r="A761" s="20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2"/>
    </row>
    <row r="762" spans="1:14" ht="14.4" x14ac:dyDescent="0.3">
      <c r="A762" s="20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</row>
    <row r="763" spans="1:14" ht="14.4" x14ac:dyDescent="0.3">
      <c r="A763" s="20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2"/>
    </row>
    <row r="764" spans="1:14" ht="14.4" x14ac:dyDescent="0.3">
      <c r="A764" s="20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2"/>
    </row>
    <row r="765" spans="1:14" ht="14.4" x14ac:dyDescent="0.3">
      <c r="A765" s="20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2"/>
    </row>
    <row r="766" spans="1:14" ht="14.4" x14ac:dyDescent="0.3">
      <c r="A766" s="20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2"/>
    </row>
    <row r="767" spans="1:14" ht="14.4" x14ac:dyDescent="0.3">
      <c r="A767" s="20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2"/>
    </row>
    <row r="768" spans="1:14" ht="14.4" x14ac:dyDescent="0.3">
      <c r="A768" s="20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</row>
    <row r="769" spans="1:14" ht="14.4" x14ac:dyDescent="0.3">
      <c r="A769" s="20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2"/>
    </row>
    <row r="770" spans="1:14" ht="14.4" x14ac:dyDescent="0.3">
      <c r="A770" s="20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2"/>
    </row>
    <row r="771" spans="1:14" ht="14.4" x14ac:dyDescent="0.3">
      <c r="A771" s="20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2"/>
    </row>
    <row r="772" spans="1:14" ht="14.4" x14ac:dyDescent="0.3">
      <c r="A772" s="20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2"/>
    </row>
    <row r="773" spans="1:14" ht="14.4" x14ac:dyDescent="0.3">
      <c r="A773" s="20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2"/>
    </row>
    <row r="774" spans="1:14" ht="14.4" x14ac:dyDescent="0.3">
      <c r="A774" s="20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2"/>
    </row>
    <row r="775" spans="1:14" ht="14.4" x14ac:dyDescent="0.3">
      <c r="A775" s="20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2"/>
    </row>
    <row r="776" spans="1:14" ht="14.4" x14ac:dyDescent="0.3">
      <c r="A776" s="20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2"/>
    </row>
    <row r="777" spans="1:14" ht="14.4" x14ac:dyDescent="0.3">
      <c r="A777" s="20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2"/>
    </row>
    <row r="778" spans="1:14" ht="14.4" x14ac:dyDescent="0.3">
      <c r="A778" s="20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2"/>
    </row>
    <row r="779" spans="1:14" ht="14.4" x14ac:dyDescent="0.3">
      <c r="A779" s="20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2"/>
    </row>
    <row r="780" spans="1:14" ht="14.4" x14ac:dyDescent="0.3">
      <c r="A780" s="20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2"/>
    </row>
    <row r="781" spans="1:14" ht="14.4" x14ac:dyDescent="0.3">
      <c r="A781" s="20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2"/>
    </row>
    <row r="782" spans="1:14" ht="14.4" x14ac:dyDescent="0.3">
      <c r="A782" s="20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2"/>
    </row>
    <row r="783" spans="1:14" ht="14.4" x14ac:dyDescent="0.3">
      <c r="A783" s="20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2"/>
    </row>
    <row r="784" spans="1:14" ht="14.4" x14ac:dyDescent="0.3">
      <c r="A784" s="20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2"/>
    </row>
    <row r="785" spans="1:14" ht="14.4" x14ac:dyDescent="0.3">
      <c r="A785" s="20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2"/>
    </row>
    <row r="786" spans="1:14" ht="14.4" x14ac:dyDescent="0.3">
      <c r="A786" s="20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2"/>
    </row>
    <row r="787" spans="1:14" ht="14.4" x14ac:dyDescent="0.3">
      <c r="A787" s="20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2"/>
    </row>
    <row r="788" spans="1:14" ht="14.4" x14ac:dyDescent="0.3">
      <c r="A788" s="20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2"/>
    </row>
    <row r="789" spans="1:14" ht="14.4" x14ac:dyDescent="0.3">
      <c r="A789" s="20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2"/>
    </row>
    <row r="790" spans="1:14" ht="14.4" x14ac:dyDescent="0.3">
      <c r="A790" s="20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2"/>
    </row>
    <row r="791" spans="1:14" ht="14.4" x14ac:dyDescent="0.3">
      <c r="A791" s="20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2"/>
    </row>
    <row r="792" spans="1:14" ht="14.4" x14ac:dyDescent="0.3">
      <c r="A792" s="20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2"/>
    </row>
    <row r="793" spans="1:14" ht="14.4" x14ac:dyDescent="0.3">
      <c r="A793" s="20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2"/>
    </row>
    <row r="794" spans="1:14" ht="14.4" x14ac:dyDescent="0.3">
      <c r="A794" s="20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2"/>
    </row>
    <row r="795" spans="1:14" ht="14.4" x14ac:dyDescent="0.3">
      <c r="A795" s="20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2"/>
    </row>
    <row r="796" spans="1:14" ht="14.4" x14ac:dyDescent="0.3">
      <c r="A796" s="20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2"/>
    </row>
    <row r="797" spans="1:14" ht="14.4" x14ac:dyDescent="0.3">
      <c r="A797" s="20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2"/>
    </row>
    <row r="798" spans="1:14" ht="14.4" x14ac:dyDescent="0.3">
      <c r="A798" s="20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2"/>
    </row>
    <row r="799" spans="1:14" ht="14.4" x14ac:dyDescent="0.3">
      <c r="A799" s="20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2"/>
    </row>
    <row r="800" spans="1:14" ht="14.4" x14ac:dyDescent="0.3">
      <c r="A800" s="20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2"/>
    </row>
    <row r="801" spans="1:14" ht="14.4" x14ac:dyDescent="0.3">
      <c r="A801" s="20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2"/>
    </row>
    <row r="802" spans="1:14" ht="14.4" x14ac:dyDescent="0.3">
      <c r="A802" s="20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2"/>
    </row>
    <row r="803" spans="1:14" ht="14.4" x14ac:dyDescent="0.3">
      <c r="A803" s="20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2"/>
    </row>
    <row r="804" spans="1:14" ht="14.4" x14ac:dyDescent="0.3">
      <c r="A804" s="20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2"/>
    </row>
    <row r="805" spans="1:14" ht="14.4" x14ac:dyDescent="0.3">
      <c r="A805" s="20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2"/>
    </row>
    <row r="806" spans="1:14" ht="14.4" x14ac:dyDescent="0.3">
      <c r="A806" s="20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2"/>
    </row>
    <row r="807" spans="1:14" ht="14.4" x14ac:dyDescent="0.3">
      <c r="A807" s="20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2"/>
    </row>
    <row r="808" spans="1:14" ht="14.4" x14ac:dyDescent="0.3">
      <c r="A808" s="20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2"/>
    </row>
    <row r="809" spans="1:14" ht="14.4" x14ac:dyDescent="0.3">
      <c r="A809" s="20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2"/>
    </row>
    <row r="810" spans="1:14" ht="14.4" x14ac:dyDescent="0.3">
      <c r="A810" s="20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2"/>
    </row>
    <row r="811" spans="1:14" ht="14.4" x14ac:dyDescent="0.3">
      <c r="A811" s="20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2"/>
    </row>
    <row r="812" spans="1:14" ht="14.4" x14ac:dyDescent="0.3">
      <c r="A812" s="20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2"/>
    </row>
    <row r="813" spans="1:14" ht="14.4" x14ac:dyDescent="0.3">
      <c r="A813" s="20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2"/>
    </row>
    <row r="814" spans="1:14" ht="14.4" x14ac:dyDescent="0.3">
      <c r="A814" s="20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2"/>
    </row>
    <row r="815" spans="1:14" ht="14.4" x14ac:dyDescent="0.3">
      <c r="A815" s="20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2"/>
    </row>
    <row r="816" spans="1:14" ht="14.4" x14ac:dyDescent="0.3">
      <c r="A816" s="20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2"/>
    </row>
    <row r="817" spans="1:14" ht="14.4" x14ac:dyDescent="0.3">
      <c r="A817" s="20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2"/>
    </row>
    <row r="818" spans="1:14" ht="14.4" x14ac:dyDescent="0.3">
      <c r="A818" s="20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2"/>
    </row>
    <row r="819" spans="1:14" ht="14.4" x14ac:dyDescent="0.3">
      <c r="A819" s="20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2"/>
    </row>
    <row r="820" spans="1:14" ht="14.4" x14ac:dyDescent="0.3">
      <c r="A820" s="20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2"/>
    </row>
    <row r="821" spans="1:14" ht="14.4" x14ac:dyDescent="0.3">
      <c r="A821" s="20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2"/>
    </row>
    <row r="822" spans="1:14" ht="14.4" x14ac:dyDescent="0.3">
      <c r="A822" s="20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2"/>
    </row>
    <row r="823" spans="1:14" ht="14.4" x14ac:dyDescent="0.3">
      <c r="A823" s="20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2"/>
    </row>
    <row r="824" spans="1:14" ht="14.4" x14ac:dyDescent="0.3">
      <c r="A824" s="20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2"/>
    </row>
    <row r="825" spans="1:14" ht="14.4" x14ac:dyDescent="0.3">
      <c r="A825" s="20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2"/>
    </row>
    <row r="826" spans="1:14" ht="14.4" x14ac:dyDescent="0.3">
      <c r="A826" s="20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2"/>
    </row>
    <row r="827" spans="1:14" ht="14.4" x14ac:dyDescent="0.3">
      <c r="A827" s="20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2"/>
    </row>
    <row r="828" spans="1:14" ht="14.4" x14ac:dyDescent="0.3">
      <c r="A828" s="20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2"/>
    </row>
    <row r="829" spans="1:14" ht="14.4" x14ac:dyDescent="0.3">
      <c r="A829" s="20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2"/>
    </row>
    <row r="830" spans="1:14" ht="14.4" x14ac:dyDescent="0.3">
      <c r="A830" s="20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2"/>
    </row>
    <row r="831" spans="1:14" ht="14.4" x14ac:dyDescent="0.3">
      <c r="A831" s="20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2"/>
    </row>
    <row r="832" spans="1:14" ht="14.4" x14ac:dyDescent="0.3">
      <c r="A832" s="20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2"/>
    </row>
    <row r="833" spans="1:14" ht="14.4" x14ac:dyDescent="0.3">
      <c r="A833" s="20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2"/>
    </row>
    <row r="834" spans="1:14" ht="14.4" x14ac:dyDescent="0.3">
      <c r="A834" s="20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2"/>
    </row>
    <row r="835" spans="1:14" ht="14.4" x14ac:dyDescent="0.3">
      <c r="A835" s="20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2"/>
    </row>
    <row r="836" spans="1:14" ht="14.4" x14ac:dyDescent="0.3">
      <c r="A836" s="20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2"/>
    </row>
    <row r="837" spans="1:14" ht="14.4" x14ac:dyDescent="0.3">
      <c r="A837" s="20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2"/>
    </row>
    <row r="838" spans="1:14" ht="14.4" x14ac:dyDescent="0.3">
      <c r="A838" s="20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2"/>
    </row>
    <row r="839" spans="1:14" ht="14.4" x14ac:dyDescent="0.3">
      <c r="A839" s="20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2"/>
    </row>
    <row r="840" spans="1:14" ht="14.4" x14ac:dyDescent="0.3">
      <c r="A840" s="20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2"/>
    </row>
    <row r="841" spans="1:14" ht="14.4" x14ac:dyDescent="0.3">
      <c r="A841" s="20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2"/>
    </row>
    <row r="842" spans="1:14" ht="14.4" x14ac:dyDescent="0.3">
      <c r="A842" s="20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2"/>
    </row>
    <row r="843" spans="1:14" ht="14.4" x14ac:dyDescent="0.3">
      <c r="A843" s="20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2"/>
    </row>
    <row r="844" spans="1:14" ht="14.4" x14ac:dyDescent="0.3">
      <c r="A844" s="20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2"/>
    </row>
    <row r="845" spans="1:14" ht="14.4" x14ac:dyDescent="0.3">
      <c r="A845" s="20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2"/>
    </row>
    <row r="846" spans="1:14" ht="14.4" x14ac:dyDescent="0.3">
      <c r="A846" s="20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2"/>
    </row>
    <row r="847" spans="1:14" ht="14.4" x14ac:dyDescent="0.3">
      <c r="A847" s="20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2"/>
    </row>
    <row r="848" spans="1:14" ht="14.4" x14ac:dyDescent="0.3">
      <c r="A848" s="20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2"/>
    </row>
    <row r="849" spans="1:14" ht="14.4" x14ac:dyDescent="0.3">
      <c r="A849" s="20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2"/>
    </row>
    <row r="850" spans="1:14" ht="14.4" x14ac:dyDescent="0.3">
      <c r="A850" s="20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2"/>
    </row>
    <row r="851" spans="1:14" ht="14.4" x14ac:dyDescent="0.3">
      <c r="A851" s="20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2"/>
    </row>
    <row r="852" spans="1:14" ht="14.4" x14ac:dyDescent="0.3">
      <c r="A852" s="20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2"/>
    </row>
    <row r="853" spans="1:14" ht="14.4" x14ac:dyDescent="0.3">
      <c r="A853" s="20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2"/>
    </row>
    <row r="854" spans="1:14" ht="14.4" x14ac:dyDescent="0.3">
      <c r="A854" s="20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2"/>
    </row>
    <row r="855" spans="1:14" ht="14.4" x14ac:dyDescent="0.3">
      <c r="A855" s="20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2"/>
    </row>
    <row r="856" spans="1:14" ht="14.4" x14ac:dyDescent="0.3">
      <c r="A856" s="20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2"/>
    </row>
    <row r="857" spans="1:14" ht="14.4" x14ac:dyDescent="0.3">
      <c r="A857" s="20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2"/>
    </row>
    <row r="858" spans="1:14" ht="14.4" x14ac:dyDescent="0.3">
      <c r="A858" s="20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2"/>
    </row>
    <row r="859" spans="1:14" ht="14.4" x14ac:dyDescent="0.3">
      <c r="A859" s="20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2"/>
    </row>
    <row r="860" spans="1:14" ht="14.4" x14ac:dyDescent="0.3">
      <c r="A860" s="20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2"/>
    </row>
    <row r="861" spans="1:14" ht="14.4" x14ac:dyDescent="0.3">
      <c r="A861" s="20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2"/>
    </row>
    <row r="862" spans="1:14" ht="14.4" x14ac:dyDescent="0.3">
      <c r="A862" s="20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2"/>
    </row>
    <row r="863" spans="1:14" ht="14.4" x14ac:dyDescent="0.3">
      <c r="A863" s="20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2"/>
    </row>
    <row r="864" spans="1:14" ht="14.4" x14ac:dyDescent="0.3">
      <c r="A864" s="20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2"/>
    </row>
    <row r="865" spans="1:14" ht="14.4" x14ac:dyDescent="0.3">
      <c r="A865" s="20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2"/>
    </row>
    <row r="866" spans="1:14" ht="14.4" x14ac:dyDescent="0.3">
      <c r="A866" s="20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2"/>
    </row>
    <row r="867" spans="1:14" ht="14.4" x14ac:dyDescent="0.3">
      <c r="A867" s="20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2"/>
    </row>
    <row r="868" spans="1:14" ht="14.4" x14ac:dyDescent="0.3">
      <c r="A868" s="20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2"/>
    </row>
    <row r="869" spans="1:14" ht="14.4" x14ac:dyDescent="0.3">
      <c r="A869" s="20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2"/>
    </row>
    <row r="870" spans="1:14" ht="14.4" x14ac:dyDescent="0.3">
      <c r="A870" s="20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2"/>
    </row>
    <row r="871" spans="1:14" ht="14.4" x14ac:dyDescent="0.3">
      <c r="A871" s="20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2"/>
    </row>
    <row r="872" spans="1:14" ht="14.4" x14ac:dyDescent="0.3">
      <c r="A872" s="20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2"/>
    </row>
    <row r="873" spans="1:14" ht="14.4" x14ac:dyDescent="0.3">
      <c r="A873" s="20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2"/>
    </row>
    <row r="874" spans="1:14" ht="14.4" x14ac:dyDescent="0.3">
      <c r="A874" s="20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2"/>
    </row>
    <row r="875" spans="1:14" ht="14.4" x14ac:dyDescent="0.3">
      <c r="A875" s="20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2"/>
    </row>
    <row r="876" spans="1:14" ht="14.4" x14ac:dyDescent="0.3">
      <c r="A876" s="20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2"/>
    </row>
    <row r="877" spans="1:14" ht="14.4" x14ac:dyDescent="0.3">
      <c r="A877" s="20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2"/>
    </row>
    <row r="878" spans="1:14" ht="14.4" x14ac:dyDescent="0.3">
      <c r="A878" s="20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2"/>
    </row>
    <row r="879" spans="1:14" ht="14.4" x14ac:dyDescent="0.3">
      <c r="A879" s="20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2"/>
    </row>
    <row r="880" spans="1:14" ht="14.4" x14ac:dyDescent="0.3">
      <c r="A880" s="20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2"/>
    </row>
    <row r="881" spans="1:14" ht="14.4" x14ac:dyDescent="0.3">
      <c r="A881" s="20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2"/>
    </row>
    <row r="882" spans="1:14" ht="14.4" x14ac:dyDescent="0.3">
      <c r="A882" s="20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2"/>
    </row>
    <row r="883" spans="1:14" ht="14.4" x14ac:dyDescent="0.3">
      <c r="A883" s="20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2"/>
    </row>
    <row r="884" spans="1:14" ht="14.4" x14ac:dyDescent="0.3">
      <c r="A884" s="20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2"/>
    </row>
    <row r="885" spans="1:14" ht="14.4" x14ac:dyDescent="0.3">
      <c r="A885" s="20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2"/>
    </row>
    <row r="886" spans="1:14" ht="14.4" x14ac:dyDescent="0.3">
      <c r="A886" s="20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2"/>
    </row>
    <row r="887" spans="1:14" ht="14.4" x14ac:dyDescent="0.3">
      <c r="A887" s="20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2"/>
    </row>
    <row r="888" spans="1:14" ht="14.4" x14ac:dyDescent="0.3">
      <c r="A888" s="20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2"/>
    </row>
    <row r="889" spans="1:14" ht="14.4" x14ac:dyDescent="0.3">
      <c r="A889" s="20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2"/>
    </row>
    <row r="890" spans="1:14" ht="14.4" x14ac:dyDescent="0.3">
      <c r="A890" s="20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2"/>
    </row>
    <row r="891" spans="1:14" ht="14.4" x14ac:dyDescent="0.3">
      <c r="A891" s="20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2"/>
    </row>
    <row r="892" spans="1:14" ht="14.4" x14ac:dyDescent="0.3">
      <c r="A892" s="20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2"/>
    </row>
    <row r="893" spans="1:14" ht="14.4" x14ac:dyDescent="0.3">
      <c r="A893" s="20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2"/>
    </row>
    <row r="894" spans="1:14" ht="14.4" x14ac:dyDescent="0.3">
      <c r="A894" s="20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2"/>
    </row>
    <row r="895" spans="1:14" ht="14.4" x14ac:dyDescent="0.3">
      <c r="A895" s="20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2"/>
    </row>
    <row r="896" spans="1:14" ht="14.4" x14ac:dyDescent="0.3">
      <c r="A896" s="20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2"/>
    </row>
    <row r="897" spans="1:14" ht="14.4" x14ac:dyDescent="0.3">
      <c r="A897" s="20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2"/>
    </row>
    <row r="898" spans="1:14" ht="14.4" x14ac:dyDescent="0.3">
      <c r="A898" s="20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2"/>
    </row>
    <row r="899" spans="1:14" ht="14.4" x14ac:dyDescent="0.3">
      <c r="A899" s="20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2"/>
    </row>
    <row r="900" spans="1:14" ht="14.4" x14ac:dyDescent="0.3">
      <c r="A900" s="20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2"/>
    </row>
    <row r="901" spans="1:14" ht="14.4" x14ac:dyDescent="0.3">
      <c r="A901" s="20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2"/>
    </row>
    <row r="902" spans="1:14" ht="14.4" x14ac:dyDescent="0.3">
      <c r="A902" s="20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2"/>
    </row>
    <row r="903" spans="1:14" ht="14.4" x14ac:dyDescent="0.3">
      <c r="A903" s="20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2"/>
    </row>
    <row r="904" spans="1:14" ht="14.4" x14ac:dyDescent="0.3">
      <c r="A904" s="20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2"/>
    </row>
    <row r="905" spans="1:14" ht="14.4" x14ac:dyDescent="0.3">
      <c r="A905" s="20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2"/>
    </row>
    <row r="906" spans="1:14" ht="14.4" x14ac:dyDescent="0.3">
      <c r="A906" s="20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2"/>
    </row>
    <row r="907" spans="1:14" ht="14.4" x14ac:dyDescent="0.3">
      <c r="A907" s="20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2"/>
    </row>
    <row r="908" spans="1:14" ht="14.4" x14ac:dyDescent="0.3">
      <c r="A908" s="20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2"/>
    </row>
    <row r="909" spans="1:14" ht="14.4" x14ac:dyDescent="0.3">
      <c r="A909" s="20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2"/>
    </row>
    <row r="910" spans="1:14" ht="14.4" x14ac:dyDescent="0.3">
      <c r="A910" s="20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2"/>
    </row>
    <row r="911" spans="1:14" ht="14.4" x14ac:dyDescent="0.3">
      <c r="A911" s="20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2"/>
    </row>
    <row r="912" spans="1:14" ht="14.4" x14ac:dyDescent="0.3">
      <c r="A912" s="20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2"/>
    </row>
    <row r="913" spans="1:14" ht="14.4" x14ac:dyDescent="0.3">
      <c r="A913" s="20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2"/>
    </row>
    <row r="914" spans="1:14" ht="14.4" x14ac:dyDescent="0.3">
      <c r="A914" s="20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2"/>
    </row>
    <row r="915" spans="1:14" ht="14.4" x14ac:dyDescent="0.3">
      <c r="A915" s="20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2"/>
    </row>
    <row r="916" spans="1:14" ht="14.4" x14ac:dyDescent="0.3">
      <c r="A916" s="20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2"/>
    </row>
    <row r="917" spans="1:14" ht="14.4" x14ac:dyDescent="0.3">
      <c r="A917" s="20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2"/>
    </row>
    <row r="918" spans="1:14" ht="14.4" x14ac:dyDescent="0.3">
      <c r="A918" s="20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2"/>
    </row>
    <row r="919" spans="1:14" ht="14.4" x14ac:dyDescent="0.3">
      <c r="A919" s="20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2"/>
    </row>
    <row r="920" spans="1:14" ht="14.4" x14ac:dyDescent="0.3">
      <c r="A920" s="20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2"/>
    </row>
    <row r="921" spans="1:14" ht="14.4" x14ac:dyDescent="0.3">
      <c r="A921" s="20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2"/>
    </row>
    <row r="922" spans="1:14" ht="14.4" x14ac:dyDescent="0.3">
      <c r="A922" s="20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2"/>
    </row>
    <row r="923" spans="1:14" ht="14.4" x14ac:dyDescent="0.3">
      <c r="A923" s="20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2"/>
    </row>
    <row r="924" spans="1:14" ht="14.4" x14ac:dyDescent="0.3">
      <c r="A924" s="20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2"/>
    </row>
    <row r="925" spans="1:14" ht="14.4" x14ac:dyDescent="0.3">
      <c r="A925" s="20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2"/>
    </row>
    <row r="926" spans="1:14" ht="14.4" x14ac:dyDescent="0.3">
      <c r="A926" s="20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2"/>
    </row>
    <row r="927" spans="1:14" ht="14.4" x14ac:dyDescent="0.3">
      <c r="A927" s="20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2"/>
    </row>
    <row r="928" spans="1:14" ht="14.4" x14ac:dyDescent="0.3">
      <c r="A928" s="20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2"/>
    </row>
    <row r="929" spans="1:14" ht="14.4" x14ac:dyDescent="0.3">
      <c r="A929" s="20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2"/>
    </row>
    <row r="930" spans="1:14" ht="14.4" x14ac:dyDescent="0.3">
      <c r="A930" s="20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2"/>
    </row>
    <row r="931" spans="1:14" ht="14.4" x14ac:dyDescent="0.3">
      <c r="A931" s="20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2"/>
    </row>
    <row r="932" spans="1:14" ht="14.4" x14ac:dyDescent="0.3">
      <c r="A932" s="20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2"/>
    </row>
    <row r="933" spans="1:14" ht="14.4" x14ac:dyDescent="0.3">
      <c r="A933" s="20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2"/>
    </row>
    <row r="934" spans="1:14" ht="14.4" x14ac:dyDescent="0.3">
      <c r="A934" s="20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2"/>
    </row>
    <row r="935" spans="1:14" ht="14.4" x14ac:dyDescent="0.3">
      <c r="A935" s="20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2"/>
    </row>
    <row r="936" spans="1:14" ht="14.4" x14ac:dyDescent="0.3">
      <c r="A936" s="20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2"/>
    </row>
    <row r="937" spans="1:14" ht="14.4" x14ac:dyDescent="0.3">
      <c r="A937" s="20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2"/>
    </row>
    <row r="938" spans="1:14" ht="14.4" x14ac:dyDescent="0.3">
      <c r="A938" s="20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2"/>
    </row>
    <row r="939" spans="1:14" ht="14.4" x14ac:dyDescent="0.3">
      <c r="A939" s="20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2"/>
    </row>
    <row r="940" spans="1:14" ht="14.4" x14ac:dyDescent="0.3">
      <c r="A940" s="20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2"/>
    </row>
    <row r="941" spans="1:14" ht="14.4" x14ac:dyDescent="0.3">
      <c r="A941" s="20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2"/>
    </row>
    <row r="942" spans="1:14" ht="14.4" x14ac:dyDescent="0.3">
      <c r="A942" s="20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2"/>
    </row>
    <row r="943" spans="1:14" ht="14.4" x14ac:dyDescent="0.3">
      <c r="A943" s="20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2"/>
    </row>
    <row r="944" spans="1:14" ht="14.4" x14ac:dyDescent="0.3">
      <c r="A944" s="20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2"/>
    </row>
    <row r="945" spans="1:14" ht="14.4" x14ac:dyDescent="0.3">
      <c r="A945" s="20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2"/>
    </row>
    <row r="946" spans="1:14" ht="14.4" x14ac:dyDescent="0.3">
      <c r="A946" s="20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2"/>
    </row>
    <row r="947" spans="1:14" ht="14.4" x14ac:dyDescent="0.3">
      <c r="A947" s="20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2"/>
    </row>
    <row r="948" spans="1:14" ht="14.4" x14ac:dyDescent="0.3">
      <c r="A948" s="20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2"/>
    </row>
    <row r="949" spans="1:14" ht="14.4" x14ac:dyDescent="0.3">
      <c r="A949" s="20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2"/>
    </row>
    <row r="950" spans="1:14" ht="14.4" x14ac:dyDescent="0.3">
      <c r="A950" s="20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2"/>
    </row>
    <row r="951" spans="1:14" ht="14.4" x14ac:dyDescent="0.3">
      <c r="A951" s="20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2"/>
    </row>
    <row r="952" spans="1:14" ht="14.4" x14ac:dyDescent="0.3">
      <c r="A952" s="20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2"/>
    </row>
    <row r="953" spans="1:14" ht="14.4" x14ac:dyDescent="0.3">
      <c r="A953" s="20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2"/>
    </row>
    <row r="954" spans="1:14" ht="14.4" x14ac:dyDescent="0.3">
      <c r="A954" s="20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2"/>
    </row>
    <row r="955" spans="1:14" ht="14.4" x14ac:dyDescent="0.3">
      <c r="A955" s="20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2"/>
    </row>
    <row r="956" spans="1:14" ht="14.4" x14ac:dyDescent="0.3">
      <c r="A956" s="20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2"/>
    </row>
    <row r="957" spans="1:14" ht="14.4" x14ac:dyDescent="0.3">
      <c r="A957" s="20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2"/>
    </row>
    <row r="958" spans="1:14" ht="14.4" x14ac:dyDescent="0.3">
      <c r="A958" s="20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2"/>
    </row>
    <row r="959" spans="1:14" ht="14.4" x14ac:dyDescent="0.3">
      <c r="A959" s="20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2"/>
    </row>
    <row r="960" spans="1:14" ht="14.4" x14ac:dyDescent="0.3">
      <c r="A960" s="20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2"/>
    </row>
    <row r="961" spans="1:14" ht="14.4" x14ac:dyDescent="0.3">
      <c r="A961" s="20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2"/>
    </row>
    <row r="962" spans="1:14" ht="14.4" x14ac:dyDescent="0.3">
      <c r="A962" s="20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2"/>
    </row>
    <row r="963" spans="1:14" ht="14.4" x14ac:dyDescent="0.3">
      <c r="A963" s="20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2"/>
    </row>
    <row r="964" spans="1:14" ht="14.4" x14ac:dyDescent="0.3">
      <c r="A964" s="20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2"/>
    </row>
    <row r="965" spans="1:14" ht="14.4" x14ac:dyDescent="0.3">
      <c r="A965" s="20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2"/>
    </row>
    <row r="966" spans="1:14" ht="14.4" x14ac:dyDescent="0.3">
      <c r="A966" s="20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2"/>
    </row>
    <row r="967" spans="1:14" ht="14.4" x14ac:dyDescent="0.3">
      <c r="A967" s="20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2"/>
    </row>
    <row r="968" spans="1:14" ht="14.4" x14ac:dyDescent="0.3">
      <c r="A968" s="20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2"/>
    </row>
    <row r="969" spans="1:14" ht="14.4" x14ac:dyDescent="0.3">
      <c r="A969" s="20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2"/>
    </row>
    <row r="970" spans="1:14" ht="14.4" x14ac:dyDescent="0.3">
      <c r="A970" s="20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2"/>
    </row>
    <row r="971" spans="1:14" ht="14.4" x14ac:dyDescent="0.3">
      <c r="A971" s="20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2"/>
    </row>
    <row r="972" spans="1:14" ht="14.4" x14ac:dyDescent="0.3">
      <c r="A972" s="23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2"/>
    </row>
    <row r="973" spans="1:14" ht="14.4" x14ac:dyDescent="0.3">
      <c r="A973" s="23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2"/>
    </row>
    <row r="974" spans="1:14" ht="14.4" x14ac:dyDescent="0.3">
      <c r="A974" s="23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2"/>
    </row>
    <row r="975" spans="1:14" ht="14.4" x14ac:dyDescent="0.3">
      <c r="A975" s="23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2"/>
    </row>
    <row r="976" spans="1:14" ht="14.4" x14ac:dyDescent="0.3">
      <c r="A976" s="23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2"/>
    </row>
    <row r="977" spans="1:14" ht="14.4" x14ac:dyDescent="0.3">
      <c r="A977" s="23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2"/>
    </row>
    <row r="978" spans="1:14" ht="14.4" x14ac:dyDescent="0.3">
      <c r="A978" s="23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2"/>
    </row>
    <row r="979" spans="1:14" ht="14.4" x14ac:dyDescent="0.3">
      <c r="A979" s="23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2"/>
    </row>
    <row r="980" spans="1:14" ht="14.4" x14ac:dyDescent="0.3">
      <c r="A980" s="23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2"/>
    </row>
  </sheetData>
  <conditionalFormatting sqref="B20:M39">
    <cfRule type="cellIs" dxfId="1" priority="1" operator="lessThan">
      <formula>0</formula>
    </cfRule>
  </conditionalFormatting>
  <printOptions horizontalCentered="1"/>
  <pageMargins left="0" right="0" top="0.39370078740157477" bottom="0.39370078740157477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99"/>
  <sheetViews>
    <sheetView topLeftCell="A13" workbookViewId="0">
      <selection activeCell="E44" sqref="E44"/>
    </sheetView>
  </sheetViews>
  <sheetFormatPr defaultColWidth="14.44140625" defaultRowHeight="15" customHeight="1" x14ac:dyDescent="0.3"/>
  <cols>
    <col min="1" max="1" width="43.33203125" customWidth="1"/>
    <col min="2" max="2" width="18" customWidth="1"/>
    <col min="3" max="6" width="20.109375" customWidth="1"/>
    <col min="7" max="7" width="21.5546875" customWidth="1"/>
  </cols>
  <sheetData>
    <row r="1" spans="1:7" ht="33" customHeight="1" x14ac:dyDescent="0.3">
      <c r="A1" s="1"/>
      <c r="B1" s="1">
        <v>2026</v>
      </c>
      <c r="C1" s="1">
        <v>2027</v>
      </c>
      <c r="D1" s="1">
        <v>2028</v>
      </c>
      <c r="E1" s="1">
        <v>2029</v>
      </c>
      <c r="F1" s="1">
        <v>2030</v>
      </c>
      <c r="G1" s="1" t="s">
        <v>0</v>
      </c>
    </row>
    <row r="2" spans="1:7" ht="33" customHeight="1" x14ac:dyDescent="0.3">
      <c r="A2" s="4" t="s">
        <v>1</v>
      </c>
      <c r="B2" s="24">
        <f>'2026'!N2</f>
        <v>103</v>
      </c>
      <c r="C2" s="24">
        <f>'2027'!N2</f>
        <v>182</v>
      </c>
      <c r="D2" s="24">
        <f>'2028'!N2</f>
        <v>246</v>
      </c>
      <c r="E2" s="24">
        <f>'2029'!N2</f>
        <v>295</v>
      </c>
      <c r="F2" s="24">
        <f>'2030'!N2</f>
        <v>333</v>
      </c>
      <c r="G2" s="24">
        <f>SUM(B2:F2)</f>
        <v>1159</v>
      </c>
    </row>
    <row r="3" spans="1:7" ht="6" customHeight="1" x14ac:dyDescent="0.3">
      <c r="A3" s="27"/>
      <c r="B3" s="28"/>
      <c r="C3" s="29"/>
      <c r="D3" s="29"/>
      <c r="E3" s="29"/>
      <c r="F3" s="29"/>
      <c r="G3" s="29"/>
    </row>
    <row r="4" spans="1:7" ht="27" customHeight="1" x14ac:dyDescent="0.3">
      <c r="A4" s="4" t="s">
        <v>2</v>
      </c>
      <c r="B4" s="30">
        <f>'2026'!N4</f>
        <v>579209.4</v>
      </c>
      <c r="C4" s="30">
        <f>'2027'!N4</f>
        <v>1476858.6</v>
      </c>
      <c r="D4" s="30">
        <f>'2028'!N4</f>
        <v>2186452.7999999998</v>
      </c>
      <c r="E4" s="30">
        <f>'2029'!N4</f>
        <v>2738080.8</v>
      </c>
      <c r="F4" s="30">
        <f>'2030'!N4</f>
        <v>3173532.6</v>
      </c>
      <c r="G4" s="30">
        <f t="shared" ref="G4:G9" si="0">SUM(B4:F4)</f>
        <v>10154134.199999999</v>
      </c>
    </row>
    <row r="5" spans="1:7" ht="14.4" x14ac:dyDescent="0.3">
      <c r="A5" s="6" t="s">
        <v>3</v>
      </c>
      <c r="B5" s="25">
        <f>'2026'!N5</f>
        <v>413721</v>
      </c>
      <c r="C5" s="25">
        <f>'2027'!N5</f>
        <v>1054899</v>
      </c>
      <c r="D5" s="25">
        <f>'2028'!N5</f>
        <v>1561752</v>
      </c>
      <c r="E5" s="25">
        <f>'2029'!N5</f>
        <v>1955772</v>
      </c>
      <c r="F5" s="25">
        <f>'2030'!N5</f>
        <v>2266809</v>
      </c>
      <c r="G5" s="25">
        <f t="shared" si="0"/>
        <v>7252953</v>
      </c>
    </row>
    <row r="6" spans="1:7" ht="27.6" x14ac:dyDescent="0.3">
      <c r="A6" s="6" t="s">
        <v>4</v>
      </c>
      <c r="B6" s="25">
        <f>'2026'!N6</f>
        <v>165488.4</v>
      </c>
      <c r="C6" s="25">
        <f>'2027'!N6</f>
        <v>421959.6</v>
      </c>
      <c r="D6" s="25">
        <f>'2028'!N6</f>
        <v>624700.80000000005</v>
      </c>
      <c r="E6" s="25">
        <f>'2029'!N6</f>
        <v>782308.8</v>
      </c>
      <c r="F6" s="25">
        <f>'2030'!N6</f>
        <v>906723.6</v>
      </c>
      <c r="G6" s="25">
        <f t="shared" si="0"/>
        <v>2901181.2</v>
      </c>
    </row>
    <row r="7" spans="1:7" ht="14.4" x14ac:dyDescent="0.3">
      <c r="A7" s="8" t="s">
        <v>5</v>
      </c>
      <c r="B7" s="31">
        <f>'2026'!N7</f>
        <v>92673.5</v>
      </c>
      <c r="C7" s="31">
        <f>'2027'!N7</f>
        <v>236297.38</v>
      </c>
      <c r="D7" s="31">
        <f>'2028'!N7</f>
        <v>349832.45</v>
      </c>
      <c r="E7" s="31">
        <f>'2029'!N7</f>
        <v>438092.93</v>
      </c>
      <c r="F7" s="31">
        <f>'2030'!N7</f>
        <v>507765.22</v>
      </c>
      <c r="G7" s="31">
        <f t="shared" si="0"/>
        <v>1624661.48</v>
      </c>
    </row>
    <row r="8" spans="1:7" ht="21" customHeight="1" x14ac:dyDescent="0.3">
      <c r="A8" s="11" t="s">
        <v>6</v>
      </c>
      <c r="B8" s="32">
        <f>'2026'!N8</f>
        <v>486535.9</v>
      </c>
      <c r="C8" s="32">
        <f>'2027'!N8</f>
        <v>1240561.22</v>
      </c>
      <c r="D8" s="32">
        <f>'2028'!N8</f>
        <v>1836620.35</v>
      </c>
      <c r="E8" s="32">
        <f>'2029'!N8</f>
        <v>2299987.87</v>
      </c>
      <c r="F8" s="32">
        <f>'2030'!N8</f>
        <v>2665767.38</v>
      </c>
      <c r="G8" s="32">
        <f t="shared" si="0"/>
        <v>8529472.7199999988</v>
      </c>
    </row>
    <row r="9" spans="1:7" ht="21" customHeight="1" x14ac:dyDescent="0.3">
      <c r="A9" s="11" t="s">
        <v>38</v>
      </c>
      <c r="B9" s="32">
        <f>'2026'!N9</f>
        <v>292599.84999999998</v>
      </c>
      <c r="C9" s="32">
        <f>'2027'!N9</f>
        <v>746066.27</v>
      </c>
      <c r="D9" s="32">
        <f>'2028'!N9</f>
        <v>1104532.74</v>
      </c>
      <c r="E9" s="32">
        <f>'2029'!N9</f>
        <v>1383199.27</v>
      </c>
      <c r="F9" s="32">
        <f>'2030'!N9</f>
        <v>1603176.94</v>
      </c>
      <c r="G9" s="32">
        <f t="shared" si="0"/>
        <v>5129575.07</v>
      </c>
    </row>
    <row r="10" spans="1:7" ht="14.4" x14ac:dyDescent="0.3">
      <c r="A10" s="6" t="s">
        <v>8</v>
      </c>
      <c r="B10" s="26">
        <f>'2026'!N10</f>
        <v>0.51</v>
      </c>
      <c r="C10" s="26">
        <f>'2027'!N10</f>
        <v>0.51</v>
      </c>
      <c r="D10" s="26">
        <f>'2028'!N10</f>
        <v>0.51</v>
      </c>
      <c r="E10" s="26">
        <f>'2029'!N10</f>
        <v>0.51</v>
      </c>
      <c r="F10" s="26">
        <f>'2030'!N10</f>
        <v>0.51</v>
      </c>
      <c r="G10" s="26">
        <f>AVERAGE(B10:F10)</f>
        <v>0.51</v>
      </c>
    </row>
    <row r="11" spans="1:7" ht="6" customHeight="1" x14ac:dyDescent="0.3">
      <c r="B11" s="28">
        <f>'2026'!N11</f>
        <v>0</v>
      </c>
      <c r="C11" s="28">
        <f>'2027'!N11</f>
        <v>0</v>
      </c>
      <c r="D11" s="28">
        <f>'2028'!N11</f>
        <v>0</v>
      </c>
      <c r="E11" s="28">
        <f>'2029'!N11</f>
        <v>0</v>
      </c>
      <c r="F11" s="28">
        <f>'2030'!N11</f>
        <v>0</v>
      </c>
      <c r="G11" s="28">
        <f>F11</f>
        <v>0</v>
      </c>
    </row>
    <row r="12" spans="1:7" ht="27" customHeight="1" x14ac:dyDescent="0.3">
      <c r="A12" s="14" t="s">
        <v>9</v>
      </c>
      <c r="B12" s="33">
        <f>'2026'!N12</f>
        <v>671264.05</v>
      </c>
      <c r="C12" s="33">
        <f>'2027'!N12</f>
        <v>1058402.95</v>
      </c>
      <c r="D12" s="33">
        <f>'2028'!N12</f>
        <v>1382223.6</v>
      </c>
      <c r="E12" s="33">
        <f>'2029'!N12</f>
        <v>1653504.6</v>
      </c>
      <c r="F12" s="33">
        <f>'2030'!N12</f>
        <v>1885886.45</v>
      </c>
      <c r="G12" s="33">
        <f t="shared" ref="G12:G40" si="1">SUM(B12:F12)</f>
        <v>6651281.6500000004</v>
      </c>
    </row>
    <row r="13" spans="1:7" ht="21" customHeight="1" x14ac:dyDescent="0.3">
      <c r="A13" s="16" t="s">
        <v>10</v>
      </c>
      <c r="B13" s="34">
        <f>'2026'!N13</f>
        <v>193936.05</v>
      </c>
      <c r="C13" s="34">
        <f>'2027'!N13</f>
        <v>494494.95</v>
      </c>
      <c r="D13" s="34">
        <f>'2028'!N13</f>
        <v>732087.6</v>
      </c>
      <c r="E13" s="34">
        <f>'2029'!N13</f>
        <v>916788.6</v>
      </c>
      <c r="F13" s="34">
        <f>'2030'!N13</f>
        <v>1062590.45</v>
      </c>
      <c r="G13" s="34">
        <f t="shared" si="1"/>
        <v>3399897.6500000004</v>
      </c>
    </row>
    <row r="14" spans="1:7" ht="14.4" x14ac:dyDescent="0.3">
      <c r="A14" s="8" t="s">
        <v>11</v>
      </c>
      <c r="B14" s="31">
        <f>'2026'!N14</f>
        <v>20686.05</v>
      </c>
      <c r="C14" s="31">
        <f>'2027'!N14</f>
        <v>52744.95</v>
      </c>
      <c r="D14" s="31">
        <f>'2028'!N14</f>
        <v>78087.600000000006</v>
      </c>
      <c r="E14" s="31">
        <f>'2029'!N14</f>
        <v>97788.6</v>
      </c>
      <c r="F14" s="31">
        <f>'2030'!N14</f>
        <v>113340.45</v>
      </c>
      <c r="G14" s="31">
        <f t="shared" si="1"/>
        <v>362647.65</v>
      </c>
    </row>
    <row r="15" spans="1:7" ht="14.4" x14ac:dyDescent="0.3">
      <c r="A15" s="19" t="s">
        <v>12</v>
      </c>
      <c r="B15" s="35">
        <f>'2026'!N15</f>
        <v>6930</v>
      </c>
      <c r="C15" s="35">
        <f>'2027'!N15</f>
        <v>17670</v>
      </c>
      <c r="D15" s="35">
        <f>'2028'!N15</f>
        <v>26160</v>
      </c>
      <c r="E15" s="35">
        <f>'2029'!N15</f>
        <v>32760</v>
      </c>
      <c r="F15" s="35">
        <f>'2030'!N15</f>
        <v>37970</v>
      </c>
      <c r="G15" s="35">
        <f t="shared" si="1"/>
        <v>121490</v>
      </c>
    </row>
    <row r="16" spans="1:7" ht="14.4" x14ac:dyDescent="0.3">
      <c r="A16" s="19" t="s">
        <v>13</v>
      </c>
      <c r="B16" s="35">
        <f>'2026'!N16</f>
        <v>138600</v>
      </c>
      <c r="C16" s="35">
        <f>'2027'!N16</f>
        <v>353400</v>
      </c>
      <c r="D16" s="35">
        <f>'2028'!N16</f>
        <v>523200</v>
      </c>
      <c r="E16" s="35">
        <f>'2029'!N16</f>
        <v>655200</v>
      </c>
      <c r="F16" s="35">
        <f>'2030'!N16</f>
        <v>759400</v>
      </c>
      <c r="G16" s="35">
        <f t="shared" si="1"/>
        <v>2429800</v>
      </c>
    </row>
    <row r="17" spans="1:7" ht="14.4" x14ac:dyDescent="0.3">
      <c r="A17" s="19" t="s">
        <v>14</v>
      </c>
      <c r="B17" s="35">
        <f>'2026'!N17</f>
        <v>6930</v>
      </c>
      <c r="C17" s="35">
        <f>'2027'!N17</f>
        <v>17670</v>
      </c>
      <c r="D17" s="35">
        <f>'2028'!N17</f>
        <v>26160</v>
      </c>
      <c r="E17" s="35">
        <f>'2029'!N17</f>
        <v>32760</v>
      </c>
      <c r="F17" s="35">
        <f>'2030'!N17</f>
        <v>37970</v>
      </c>
      <c r="G17" s="35">
        <f t="shared" si="1"/>
        <v>121490</v>
      </c>
    </row>
    <row r="18" spans="1:7" ht="14.4" x14ac:dyDescent="0.3">
      <c r="A18" s="19" t="s">
        <v>15</v>
      </c>
      <c r="B18" s="35">
        <f>'2026'!N18</f>
        <v>20790</v>
      </c>
      <c r="C18" s="35">
        <f>'2027'!N18</f>
        <v>53010</v>
      </c>
      <c r="D18" s="35">
        <f>'2028'!N18</f>
        <v>78480</v>
      </c>
      <c r="E18" s="35">
        <f>'2029'!N18</f>
        <v>98280</v>
      </c>
      <c r="F18" s="35">
        <f>'2030'!N18</f>
        <v>113910</v>
      </c>
      <c r="G18" s="35">
        <f t="shared" si="1"/>
        <v>364470</v>
      </c>
    </row>
    <row r="19" spans="1:7" ht="21" customHeight="1" x14ac:dyDescent="0.3">
      <c r="A19" s="16" t="s">
        <v>16</v>
      </c>
      <c r="B19" s="34">
        <f>'2026'!N19</f>
        <v>477328</v>
      </c>
      <c r="C19" s="34">
        <f>'2027'!N19</f>
        <v>563908</v>
      </c>
      <c r="D19" s="34">
        <f>'2028'!N19</f>
        <v>650136</v>
      </c>
      <c r="E19" s="34">
        <f>'2029'!N19</f>
        <v>736716</v>
      </c>
      <c r="F19" s="34">
        <f>'2030'!N19</f>
        <v>823296</v>
      </c>
      <c r="G19" s="34">
        <f t="shared" si="1"/>
        <v>3251384</v>
      </c>
    </row>
    <row r="20" spans="1:7" ht="14.4" x14ac:dyDescent="0.3">
      <c r="A20" s="19" t="s">
        <v>17</v>
      </c>
      <c r="B20" s="35">
        <f>'2026'!N20</f>
        <v>53280</v>
      </c>
      <c r="C20" s="35">
        <f>'2027'!N20</f>
        <v>79920</v>
      </c>
      <c r="D20" s="35">
        <f>'2028'!N20</f>
        <v>106560</v>
      </c>
      <c r="E20" s="35">
        <f>'2029'!N20</f>
        <v>133200</v>
      </c>
      <c r="F20" s="35">
        <f>'2030'!N20</f>
        <v>159840</v>
      </c>
      <c r="G20" s="35">
        <f t="shared" si="1"/>
        <v>532800</v>
      </c>
    </row>
    <row r="21" spans="1:7" ht="14.4" x14ac:dyDescent="0.3">
      <c r="A21" s="19" t="s">
        <v>18</v>
      </c>
      <c r="B21" s="35">
        <f>'2026'!N21</f>
        <v>26640</v>
      </c>
      <c r="C21" s="35">
        <f>'2027'!N21</f>
        <v>46620</v>
      </c>
      <c r="D21" s="35">
        <f>'2028'!N21</f>
        <v>66600</v>
      </c>
      <c r="E21" s="35">
        <f>'2029'!N21</f>
        <v>86580</v>
      </c>
      <c r="F21" s="35">
        <f>'2030'!N21</f>
        <v>106560</v>
      </c>
      <c r="G21" s="35">
        <f t="shared" si="1"/>
        <v>333000</v>
      </c>
    </row>
    <row r="22" spans="1:7" ht="14.4" x14ac:dyDescent="0.3">
      <c r="A22" s="19" t="s">
        <v>18</v>
      </c>
      <c r="B22" s="35">
        <f>'2026'!N22</f>
        <v>26640</v>
      </c>
      <c r="C22" s="35">
        <f>'2027'!N22</f>
        <v>46620</v>
      </c>
      <c r="D22" s="35">
        <f>'2028'!N22</f>
        <v>66600</v>
      </c>
      <c r="E22" s="35">
        <f>'2029'!N22</f>
        <v>86580</v>
      </c>
      <c r="F22" s="35">
        <f>'2030'!N22</f>
        <v>106560</v>
      </c>
      <c r="G22" s="35">
        <f t="shared" si="1"/>
        <v>333000</v>
      </c>
    </row>
    <row r="23" spans="1:7" ht="14.4" x14ac:dyDescent="0.3">
      <c r="A23" s="19" t="s">
        <v>18</v>
      </c>
      <c r="B23" s="35">
        <f>'2026'!N23</f>
        <v>26640</v>
      </c>
      <c r="C23" s="35">
        <f>'2027'!N23</f>
        <v>46620</v>
      </c>
      <c r="D23" s="35">
        <f>'2028'!N23</f>
        <v>66600</v>
      </c>
      <c r="E23" s="35">
        <f>'2029'!N23</f>
        <v>86580</v>
      </c>
      <c r="F23" s="35">
        <f>'2030'!N23</f>
        <v>106560</v>
      </c>
      <c r="G23" s="35">
        <f t="shared" si="1"/>
        <v>333000</v>
      </c>
    </row>
    <row r="24" spans="1:7" ht="14.4" x14ac:dyDescent="0.3">
      <c r="A24" s="8" t="s">
        <v>19</v>
      </c>
      <c r="B24" s="31">
        <f>'2026'!N24</f>
        <v>12000</v>
      </c>
      <c r="C24" s="31">
        <f>'2027'!N24</f>
        <v>12000</v>
      </c>
      <c r="D24" s="31">
        <f>'2028'!N24</f>
        <v>12000</v>
      </c>
      <c r="E24" s="31">
        <f>'2029'!N24</f>
        <v>12000</v>
      </c>
      <c r="F24" s="31">
        <f>'2030'!N24</f>
        <v>12000</v>
      </c>
      <c r="G24" s="31">
        <f t="shared" si="1"/>
        <v>60000</v>
      </c>
    </row>
    <row r="25" spans="1:7" ht="14.4" x14ac:dyDescent="0.3">
      <c r="A25" s="8" t="s">
        <v>20</v>
      </c>
      <c r="B25" s="31">
        <f>'2026'!N25</f>
        <v>24000</v>
      </c>
      <c r="C25" s="31">
        <f>'2027'!N25</f>
        <v>24000</v>
      </c>
      <c r="D25" s="31">
        <f>'2028'!N25</f>
        <v>24000</v>
      </c>
      <c r="E25" s="31">
        <f>'2029'!N25</f>
        <v>24000</v>
      </c>
      <c r="F25" s="31">
        <f>'2030'!N25</f>
        <v>24000</v>
      </c>
      <c r="G25" s="31">
        <f t="shared" si="1"/>
        <v>120000</v>
      </c>
    </row>
    <row r="26" spans="1:7" ht="14.4" x14ac:dyDescent="0.3">
      <c r="A26" s="8" t="s">
        <v>21</v>
      </c>
      <c r="B26" s="31">
        <f>'2026'!N26</f>
        <v>24000</v>
      </c>
      <c r="C26" s="31">
        <f>'2027'!N26</f>
        <v>24000</v>
      </c>
      <c r="D26" s="31">
        <f>'2028'!N26</f>
        <v>24000</v>
      </c>
      <c r="E26" s="31">
        <f>'2029'!N26</f>
        <v>24000</v>
      </c>
      <c r="F26" s="31">
        <f>'2030'!N26</f>
        <v>24000</v>
      </c>
      <c r="G26" s="31">
        <f t="shared" si="1"/>
        <v>120000</v>
      </c>
    </row>
    <row r="27" spans="1:7" ht="14.4" x14ac:dyDescent="0.3">
      <c r="A27" s="8" t="s">
        <v>22</v>
      </c>
      <c r="B27" s="31">
        <f>'2026'!N27</f>
        <v>24000</v>
      </c>
      <c r="C27" s="31">
        <f>'2027'!N27</f>
        <v>24000</v>
      </c>
      <c r="D27" s="31">
        <f>'2028'!N27</f>
        <v>24000</v>
      </c>
      <c r="E27" s="31">
        <f>'2029'!N27</f>
        <v>24000</v>
      </c>
      <c r="F27" s="31">
        <f>'2030'!N27</f>
        <v>24000</v>
      </c>
      <c r="G27" s="31">
        <f t="shared" si="1"/>
        <v>120000</v>
      </c>
    </row>
    <row r="28" spans="1:7" ht="14.4" x14ac:dyDescent="0.3">
      <c r="A28" s="8" t="s">
        <v>23</v>
      </c>
      <c r="B28" s="31">
        <f>'2026'!N28</f>
        <v>36000</v>
      </c>
      <c r="C28" s="31">
        <f>'2027'!N28</f>
        <v>36000</v>
      </c>
      <c r="D28" s="31">
        <f>'2028'!N28</f>
        <v>36000</v>
      </c>
      <c r="E28" s="31">
        <f>'2029'!N28</f>
        <v>36000</v>
      </c>
      <c r="F28" s="31">
        <f>'2030'!N28</f>
        <v>36000</v>
      </c>
      <c r="G28" s="31">
        <f t="shared" si="1"/>
        <v>180000</v>
      </c>
    </row>
    <row r="29" spans="1:7" ht="14.4" x14ac:dyDescent="0.3">
      <c r="A29" s="8" t="s">
        <v>24</v>
      </c>
      <c r="B29" s="31">
        <f>'2026'!N29</f>
        <v>0</v>
      </c>
      <c r="C29" s="31">
        <f>'2027'!N29</f>
        <v>0</v>
      </c>
      <c r="D29" s="31">
        <f>'2028'!N29</f>
        <v>0</v>
      </c>
      <c r="E29" s="31">
        <f>'2029'!N29</f>
        <v>0</v>
      </c>
      <c r="F29" s="31">
        <f>'2030'!N29</f>
        <v>0</v>
      </c>
      <c r="G29" s="31">
        <f t="shared" si="1"/>
        <v>0</v>
      </c>
    </row>
    <row r="30" spans="1:7" ht="14.4" x14ac:dyDescent="0.3">
      <c r="A30" s="19" t="s">
        <v>25</v>
      </c>
      <c r="B30" s="35">
        <f>'2026'!N30</f>
        <v>4656</v>
      </c>
      <c r="C30" s="35">
        <f>'2027'!N30</f>
        <v>4656</v>
      </c>
      <c r="D30" s="35">
        <f>'2028'!N30</f>
        <v>3600</v>
      </c>
      <c r="E30" s="35">
        <f>'2029'!N30</f>
        <v>3600</v>
      </c>
      <c r="F30" s="35">
        <f>'2030'!N30</f>
        <v>3600</v>
      </c>
      <c r="G30" s="35">
        <f t="shared" si="1"/>
        <v>20112</v>
      </c>
    </row>
    <row r="31" spans="1:7" ht="14.4" x14ac:dyDescent="0.3">
      <c r="A31" s="19" t="s">
        <v>26</v>
      </c>
      <c r="B31" s="35">
        <f>'2026'!N31</f>
        <v>6000</v>
      </c>
      <c r="C31" s="35">
        <f>'2027'!N31</f>
        <v>6000</v>
      </c>
      <c r="D31" s="35">
        <f>'2028'!N31</f>
        <v>6000</v>
      </c>
      <c r="E31" s="35">
        <f>'2029'!N31</f>
        <v>6000</v>
      </c>
      <c r="F31" s="35">
        <f>'2030'!N31</f>
        <v>6000</v>
      </c>
      <c r="G31" s="35">
        <f t="shared" si="1"/>
        <v>30000</v>
      </c>
    </row>
    <row r="32" spans="1:7" ht="14.4" x14ac:dyDescent="0.3">
      <c r="A32" s="19" t="s">
        <v>27</v>
      </c>
      <c r="B32" s="35">
        <f>'2026'!N32</f>
        <v>12000</v>
      </c>
      <c r="C32" s="35">
        <f>'2027'!N32</f>
        <v>12000</v>
      </c>
      <c r="D32" s="35">
        <f>'2028'!N32</f>
        <v>12000</v>
      </c>
      <c r="E32" s="35">
        <f>'2029'!N32</f>
        <v>12000</v>
      </c>
      <c r="F32" s="35">
        <f>'2030'!N32</f>
        <v>12000</v>
      </c>
      <c r="G32" s="35">
        <f t="shared" si="1"/>
        <v>60000</v>
      </c>
    </row>
    <row r="33" spans="1:7" ht="14.4" x14ac:dyDescent="0.3">
      <c r="A33" s="19" t="s">
        <v>28</v>
      </c>
      <c r="B33" s="35">
        <f>'2026'!N33</f>
        <v>6000</v>
      </c>
      <c r="C33" s="35">
        <f>'2027'!N33</f>
        <v>6000</v>
      </c>
      <c r="D33" s="35">
        <f>'2028'!N33</f>
        <v>6000</v>
      </c>
      <c r="E33" s="35">
        <f>'2029'!N33</f>
        <v>6000</v>
      </c>
      <c r="F33" s="35">
        <f>'2030'!N33</f>
        <v>6000</v>
      </c>
      <c r="G33" s="35">
        <f t="shared" si="1"/>
        <v>30000</v>
      </c>
    </row>
    <row r="34" spans="1:7" ht="14.4" x14ac:dyDescent="0.3">
      <c r="A34" s="19" t="s">
        <v>29</v>
      </c>
      <c r="B34" s="35">
        <f>'2026'!N34</f>
        <v>6000</v>
      </c>
      <c r="C34" s="35">
        <f>'2027'!N34</f>
        <v>6000</v>
      </c>
      <c r="D34" s="35">
        <f>'2028'!N34</f>
        <v>6000</v>
      </c>
      <c r="E34" s="35">
        <f>'2029'!N34</f>
        <v>6000</v>
      </c>
      <c r="F34" s="35">
        <f>'2030'!N34</f>
        <v>6000</v>
      </c>
      <c r="G34" s="35">
        <f t="shared" si="1"/>
        <v>30000</v>
      </c>
    </row>
    <row r="35" spans="1:7" ht="14.4" x14ac:dyDescent="0.3">
      <c r="A35" s="19" t="s">
        <v>30</v>
      </c>
      <c r="B35" s="35">
        <f>'2026'!N35</f>
        <v>24000</v>
      </c>
      <c r="C35" s="35">
        <f>'2027'!N35</f>
        <v>24000</v>
      </c>
      <c r="D35" s="35">
        <f>'2028'!N35</f>
        <v>24000</v>
      </c>
      <c r="E35" s="35">
        <f>'2029'!N35</f>
        <v>24000</v>
      </c>
      <c r="F35" s="35">
        <f>'2030'!N35</f>
        <v>24000</v>
      </c>
      <c r="G35" s="35">
        <f t="shared" si="1"/>
        <v>120000</v>
      </c>
    </row>
    <row r="36" spans="1:7" ht="14.4" x14ac:dyDescent="0.3">
      <c r="A36" s="19" t="s">
        <v>31</v>
      </c>
      <c r="B36" s="35">
        <f>'2026'!N36</f>
        <v>8146</v>
      </c>
      <c r="C36" s="35">
        <f>'2027'!N36</f>
        <v>8146</v>
      </c>
      <c r="D36" s="35">
        <f>'2028'!N36</f>
        <v>7200</v>
      </c>
      <c r="E36" s="35">
        <f>'2029'!N36</f>
        <v>7200</v>
      </c>
      <c r="F36" s="35">
        <f>'2030'!N36</f>
        <v>7200</v>
      </c>
      <c r="G36" s="35">
        <f t="shared" si="1"/>
        <v>37892</v>
      </c>
    </row>
    <row r="37" spans="1:7" ht="14.4" x14ac:dyDescent="0.3">
      <c r="A37" s="19" t="s">
        <v>32</v>
      </c>
      <c r="B37" s="35">
        <f>'2026'!N37</f>
        <v>12750</v>
      </c>
      <c r="C37" s="35">
        <f>'2027'!N37</f>
        <v>12750</v>
      </c>
      <c r="D37" s="35">
        <f>'2028'!N37</f>
        <v>14400</v>
      </c>
      <c r="E37" s="35">
        <f>'2029'!N37</f>
        <v>14400</v>
      </c>
      <c r="F37" s="35">
        <f>'2030'!N37</f>
        <v>14400</v>
      </c>
      <c r="G37" s="35">
        <f t="shared" si="1"/>
        <v>68700</v>
      </c>
    </row>
    <row r="38" spans="1:7" ht="14.4" x14ac:dyDescent="0.3">
      <c r="A38" s="19" t="s">
        <v>33</v>
      </c>
      <c r="B38" s="35">
        <f>'2026'!N38</f>
        <v>576</v>
      </c>
      <c r="C38" s="35">
        <f>'2027'!N38</f>
        <v>576</v>
      </c>
      <c r="D38" s="35">
        <f>'2028'!N38</f>
        <v>576</v>
      </c>
      <c r="E38" s="35">
        <f>'2029'!N38</f>
        <v>576</v>
      </c>
      <c r="F38" s="35">
        <f>'2030'!N38</f>
        <v>576</v>
      </c>
      <c r="G38" s="35">
        <f t="shared" si="1"/>
        <v>2880</v>
      </c>
    </row>
    <row r="39" spans="1:7" ht="14.4" x14ac:dyDescent="0.3">
      <c r="A39" s="19" t="s">
        <v>34</v>
      </c>
      <c r="B39" s="35">
        <f>'2026'!N39</f>
        <v>24000</v>
      </c>
      <c r="C39" s="35">
        <f>'2027'!N39</f>
        <v>24000</v>
      </c>
      <c r="D39" s="35">
        <f>'2028'!N39</f>
        <v>24000</v>
      </c>
      <c r="E39" s="35">
        <f>'2029'!N39</f>
        <v>24000</v>
      </c>
      <c r="F39" s="35">
        <f>'2030'!N39</f>
        <v>24000</v>
      </c>
      <c r="G39" s="35">
        <f t="shared" si="1"/>
        <v>120000</v>
      </c>
    </row>
    <row r="40" spans="1:7" ht="14.4" x14ac:dyDescent="0.3">
      <c r="A40" s="8" t="s">
        <v>35</v>
      </c>
      <c r="B40" s="31">
        <f>'2026'!N40</f>
        <v>120000</v>
      </c>
      <c r="C40" s="31">
        <f>'2027'!N40</f>
        <v>120000</v>
      </c>
      <c r="D40" s="31">
        <f>'2028'!N40</f>
        <v>120000</v>
      </c>
      <c r="E40" s="31">
        <f>'2029'!N40</f>
        <v>120000</v>
      </c>
      <c r="F40" s="31">
        <f>'2030'!N40</f>
        <v>120000</v>
      </c>
      <c r="G40" s="31">
        <f t="shared" si="1"/>
        <v>600000</v>
      </c>
    </row>
    <row r="41" spans="1:7" ht="27" customHeight="1" x14ac:dyDescent="0.3">
      <c r="A41" s="4" t="s">
        <v>36</v>
      </c>
      <c r="B41" s="30">
        <f>'2026'!N41</f>
        <v>-184728.15</v>
      </c>
      <c r="C41" s="30">
        <f>'2027'!N41</f>
        <v>182158.27</v>
      </c>
      <c r="D41" s="30">
        <f>'2028'!N41</f>
        <v>454396.74</v>
      </c>
      <c r="E41" s="30">
        <f>'2029'!N41</f>
        <v>646483.27</v>
      </c>
      <c r="F41" s="30">
        <f>'2030'!N41</f>
        <v>779880.94</v>
      </c>
      <c r="G41" s="30">
        <f>SUM(B41:F41)</f>
        <v>1878191.0699999998</v>
      </c>
    </row>
    <row r="42" spans="1:7" ht="14.4" x14ac:dyDescent="0.3">
      <c r="A42" s="6" t="s">
        <v>37</v>
      </c>
      <c r="B42" s="26">
        <f>'2026'!N42</f>
        <v>-0.9546944848401403</v>
      </c>
      <c r="C42" s="26">
        <f>'2027'!N42</f>
        <v>0.13541344964697979</v>
      </c>
      <c r="D42" s="26">
        <f>'2028'!N42</f>
        <v>0.24495503821189299</v>
      </c>
      <c r="E42" s="26">
        <f>'2029'!N42</f>
        <v>0.28025795327629632</v>
      </c>
      <c r="F42" s="26">
        <f>'2030'!N42</f>
        <v>0.29221333423648838</v>
      </c>
      <c r="G42" s="26">
        <f>AVERAGE(B42:F42)</f>
        <v>-3.709418936965636E-4</v>
      </c>
    </row>
    <row r="43" spans="1:7" ht="14.4" x14ac:dyDescent="0.3">
      <c r="B43" s="28"/>
      <c r="C43" s="28"/>
      <c r="D43" s="28"/>
      <c r="E43" s="28"/>
      <c r="F43" s="28"/>
      <c r="G43" s="28"/>
    </row>
    <row r="44" spans="1:7" ht="14.4" x14ac:dyDescent="0.3">
      <c r="B44" s="28"/>
      <c r="C44" s="28"/>
      <c r="D44" s="28"/>
      <c r="E44" s="28"/>
      <c r="F44" s="28"/>
      <c r="G44" s="28"/>
    </row>
    <row r="45" spans="1:7" ht="14.4" x14ac:dyDescent="0.3">
      <c r="B45" s="28"/>
      <c r="C45" s="28"/>
      <c r="D45" s="28"/>
      <c r="E45" s="28"/>
      <c r="F45" s="28"/>
      <c r="G45" s="28"/>
    </row>
    <row r="46" spans="1:7" ht="14.4" x14ac:dyDescent="0.3">
      <c r="A46" s="20"/>
      <c r="B46" s="36"/>
      <c r="C46" s="36"/>
      <c r="D46" s="36"/>
      <c r="E46" s="36"/>
      <c r="F46" s="36"/>
      <c r="G46" s="36"/>
    </row>
    <row r="47" spans="1:7" ht="14.4" x14ac:dyDescent="0.3">
      <c r="A47" s="20"/>
      <c r="B47" s="36"/>
      <c r="C47" s="36"/>
      <c r="D47" s="36"/>
      <c r="E47" s="36"/>
      <c r="F47" s="36"/>
      <c r="G47" s="36"/>
    </row>
    <row r="48" spans="1:7" ht="14.4" x14ac:dyDescent="0.3">
      <c r="A48" s="20"/>
      <c r="B48" s="36"/>
      <c r="C48" s="36"/>
      <c r="D48" s="36"/>
      <c r="E48" s="36"/>
      <c r="F48" s="36"/>
      <c r="G48" s="36"/>
    </row>
    <row r="49" spans="1:7" ht="14.4" x14ac:dyDescent="0.3">
      <c r="A49" s="20"/>
      <c r="B49" s="36"/>
      <c r="C49" s="36"/>
      <c r="D49" s="36"/>
      <c r="E49" s="36"/>
      <c r="F49" s="36"/>
      <c r="G49" s="36"/>
    </row>
    <row r="50" spans="1:7" ht="14.4" x14ac:dyDescent="0.3">
      <c r="A50" s="20"/>
      <c r="B50" s="36"/>
      <c r="C50" s="36"/>
      <c r="D50" s="36"/>
      <c r="E50" s="36"/>
      <c r="F50" s="36"/>
      <c r="G50" s="36"/>
    </row>
    <row r="51" spans="1:7" ht="14.4" x14ac:dyDescent="0.3">
      <c r="A51" s="20"/>
      <c r="B51" s="36"/>
      <c r="C51" s="36"/>
      <c r="D51" s="36"/>
      <c r="E51" s="36"/>
      <c r="F51" s="36"/>
      <c r="G51" s="36"/>
    </row>
    <row r="52" spans="1:7" ht="14.4" x14ac:dyDescent="0.3">
      <c r="A52" s="20"/>
      <c r="B52" s="36"/>
      <c r="C52" s="36"/>
      <c r="D52" s="36"/>
      <c r="E52" s="36"/>
      <c r="F52" s="36"/>
      <c r="G52" s="36"/>
    </row>
    <row r="53" spans="1:7" ht="14.4" x14ac:dyDescent="0.3">
      <c r="A53" s="20"/>
      <c r="B53" s="36"/>
      <c r="C53" s="36"/>
      <c r="D53" s="36"/>
      <c r="E53" s="36"/>
      <c r="F53" s="36"/>
      <c r="G53" s="36"/>
    </row>
    <row r="54" spans="1:7" ht="14.4" x14ac:dyDescent="0.3">
      <c r="A54" s="20"/>
      <c r="B54" s="36"/>
      <c r="C54" s="36"/>
      <c r="D54" s="36"/>
      <c r="E54" s="36"/>
      <c r="F54" s="36"/>
      <c r="G54" s="36"/>
    </row>
    <row r="55" spans="1:7" ht="14.4" x14ac:dyDescent="0.3">
      <c r="A55" s="20"/>
      <c r="B55" s="36"/>
      <c r="C55" s="36"/>
      <c r="D55" s="36"/>
      <c r="E55" s="36"/>
      <c r="F55" s="36"/>
      <c r="G55" s="36"/>
    </row>
    <row r="56" spans="1:7" ht="14.4" x14ac:dyDescent="0.3">
      <c r="A56" s="20"/>
      <c r="B56" s="36"/>
      <c r="C56" s="36"/>
      <c r="D56" s="36"/>
      <c r="E56" s="36"/>
      <c r="F56" s="36"/>
      <c r="G56" s="36"/>
    </row>
    <row r="57" spans="1:7" ht="14.4" x14ac:dyDescent="0.3">
      <c r="A57" s="20"/>
      <c r="B57" s="36"/>
      <c r="C57" s="36"/>
      <c r="D57" s="36"/>
      <c r="E57" s="36"/>
      <c r="F57" s="36"/>
      <c r="G57" s="36"/>
    </row>
    <row r="58" spans="1:7" ht="14.4" x14ac:dyDescent="0.3">
      <c r="A58" s="20"/>
      <c r="B58" s="36"/>
      <c r="C58" s="36"/>
      <c r="D58" s="36"/>
      <c r="E58" s="36"/>
      <c r="F58" s="36"/>
      <c r="G58" s="36"/>
    </row>
    <row r="59" spans="1:7" ht="14.4" x14ac:dyDescent="0.3">
      <c r="A59" s="20"/>
      <c r="B59" s="36"/>
      <c r="C59" s="36"/>
      <c r="D59" s="36"/>
      <c r="E59" s="36"/>
      <c r="F59" s="36"/>
      <c r="G59" s="36"/>
    </row>
    <row r="60" spans="1:7" ht="14.4" x14ac:dyDescent="0.3">
      <c r="A60" s="20"/>
      <c r="B60" s="36"/>
      <c r="C60" s="36"/>
      <c r="D60" s="36"/>
      <c r="E60" s="36"/>
      <c r="F60" s="36"/>
      <c r="G60" s="36"/>
    </row>
    <row r="61" spans="1:7" ht="14.4" x14ac:dyDescent="0.3">
      <c r="A61" s="20"/>
      <c r="B61" s="36"/>
      <c r="C61" s="36"/>
      <c r="D61" s="36"/>
      <c r="E61" s="36"/>
      <c r="F61" s="36"/>
      <c r="G61" s="36"/>
    </row>
    <row r="62" spans="1:7" ht="14.4" x14ac:dyDescent="0.3">
      <c r="A62" s="20"/>
      <c r="B62" s="36"/>
      <c r="C62" s="36"/>
      <c r="D62" s="36"/>
      <c r="E62" s="36"/>
      <c r="F62" s="36"/>
      <c r="G62" s="36"/>
    </row>
    <row r="63" spans="1:7" ht="14.4" x14ac:dyDescent="0.3">
      <c r="A63" s="20"/>
      <c r="B63" s="36"/>
      <c r="C63" s="36"/>
      <c r="D63" s="36"/>
      <c r="E63" s="36"/>
      <c r="F63" s="36"/>
      <c r="G63" s="36"/>
    </row>
    <row r="64" spans="1:7" ht="14.4" x14ac:dyDescent="0.3">
      <c r="A64" s="20"/>
      <c r="B64" s="36"/>
      <c r="C64" s="36"/>
      <c r="D64" s="36"/>
      <c r="E64" s="36"/>
      <c r="F64" s="36"/>
      <c r="G64" s="36"/>
    </row>
    <row r="65" spans="1:7" ht="14.4" x14ac:dyDescent="0.3">
      <c r="A65" s="20"/>
      <c r="B65" s="36"/>
      <c r="C65" s="36"/>
      <c r="D65" s="36"/>
      <c r="E65" s="36"/>
      <c r="F65" s="36"/>
      <c r="G65" s="36"/>
    </row>
    <row r="66" spans="1:7" ht="14.4" x14ac:dyDescent="0.3">
      <c r="A66" s="20"/>
      <c r="B66" s="36"/>
      <c r="C66" s="36"/>
      <c r="D66" s="36"/>
      <c r="E66" s="36"/>
      <c r="F66" s="36"/>
      <c r="G66" s="36"/>
    </row>
    <row r="67" spans="1:7" ht="14.4" x14ac:dyDescent="0.3">
      <c r="A67" s="20"/>
      <c r="B67" s="36"/>
      <c r="C67" s="36"/>
      <c r="D67" s="36"/>
      <c r="E67" s="36"/>
      <c r="F67" s="36"/>
      <c r="G67" s="36"/>
    </row>
    <row r="68" spans="1:7" ht="14.4" x14ac:dyDescent="0.3">
      <c r="A68" s="20"/>
      <c r="B68" s="36"/>
      <c r="C68" s="36"/>
      <c r="D68" s="36"/>
      <c r="E68" s="36"/>
      <c r="F68" s="36"/>
      <c r="G68" s="36"/>
    </row>
    <row r="69" spans="1:7" ht="14.4" x14ac:dyDescent="0.3">
      <c r="A69" s="20"/>
      <c r="B69" s="36"/>
      <c r="C69" s="36"/>
      <c r="D69" s="36"/>
      <c r="E69" s="36"/>
      <c r="F69" s="36"/>
      <c r="G69" s="36"/>
    </row>
    <row r="70" spans="1:7" ht="14.4" x14ac:dyDescent="0.3">
      <c r="A70" s="20"/>
      <c r="B70" s="36"/>
      <c r="C70" s="36"/>
      <c r="D70" s="36"/>
      <c r="E70" s="36"/>
      <c r="F70" s="36"/>
      <c r="G70" s="36"/>
    </row>
    <row r="71" spans="1:7" ht="14.4" x14ac:dyDescent="0.3">
      <c r="A71" s="20"/>
      <c r="B71" s="36"/>
      <c r="C71" s="36"/>
      <c r="D71" s="36"/>
      <c r="E71" s="36"/>
      <c r="F71" s="36"/>
      <c r="G71" s="36"/>
    </row>
    <row r="72" spans="1:7" ht="14.4" x14ac:dyDescent="0.3">
      <c r="A72" s="20"/>
      <c r="B72" s="36"/>
      <c r="C72" s="36"/>
      <c r="D72" s="36"/>
      <c r="E72" s="36"/>
      <c r="F72" s="36"/>
      <c r="G72" s="36"/>
    </row>
    <row r="73" spans="1:7" ht="14.4" x14ac:dyDescent="0.3">
      <c r="A73" s="20"/>
      <c r="B73" s="36"/>
      <c r="C73" s="36"/>
      <c r="D73" s="36"/>
      <c r="E73" s="36"/>
      <c r="F73" s="36"/>
      <c r="G73" s="36"/>
    </row>
    <row r="74" spans="1:7" ht="14.4" x14ac:dyDescent="0.3">
      <c r="A74" s="20"/>
      <c r="B74" s="36"/>
      <c r="C74" s="36"/>
      <c r="D74" s="36"/>
      <c r="E74" s="36"/>
      <c r="F74" s="36"/>
      <c r="G74" s="36"/>
    </row>
    <row r="75" spans="1:7" ht="14.4" x14ac:dyDescent="0.3">
      <c r="A75" s="20"/>
      <c r="B75" s="36"/>
      <c r="C75" s="36"/>
      <c r="D75" s="36"/>
      <c r="E75" s="36"/>
      <c r="F75" s="36"/>
      <c r="G75" s="36"/>
    </row>
    <row r="76" spans="1:7" ht="14.4" x14ac:dyDescent="0.3">
      <c r="A76" s="20"/>
      <c r="B76" s="36"/>
      <c r="C76" s="36"/>
      <c r="D76" s="36"/>
      <c r="E76" s="36"/>
      <c r="F76" s="36"/>
      <c r="G76" s="36"/>
    </row>
    <row r="77" spans="1:7" ht="14.4" x14ac:dyDescent="0.3">
      <c r="A77" s="20"/>
      <c r="B77" s="36"/>
      <c r="C77" s="36"/>
      <c r="D77" s="36"/>
      <c r="E77" s="36"/>
      <c r="F77" s="36"/>
      <c r="G77" s="36"/>
    </row>
    <row r="78" spans="1:7" ht="14.4" x14ac:dyDescent="0.3">
      <c r="A78" s="20"/>
      <c r="B78" s="36"/>
      <c r="C78" s="36"/>
      <c r="D78" s="36"/>
      <c r="E78" s="36"/>
      <c r="F78" s="36"/>
      <c r="G78" s="36"/>
    </row>
    <row r="79" spans="1:7" ht="14.4" x14ac:dyDescent="0.3">
      <c r="A79" s="20"/>
      <c r="B79" s="36"/>
      <c r="C79" s="36"/>
      <c r="D79" s="36"/>
      <c r="E79" s="36"/>
      <c r="F79" s="36"/>
      <c r="G79" s="36"/>
    </row>
    <row r="80" spans="1:7" ht="14.4" x14ac:dyDescent="0.3">
      <c r="A80" s="20"/>
      <c r="B80" s="36"/>
      <c r="C80" s="36"/>
      <c r="D80" s="36"/>
      <c r="E80" s="36"/>
      <c r="F80" s="36"/>
      <c r="G80" s="36"/>
    </row>
    <row r="81" spans="1:7" ht="14.4" x14ac:dyDescent="0.3">
      <c r="A81" s="20"/>
      <c r="B81" s="36"/>
      <c r="C81" s="36"/>
      <c r="D81" s="36"/>
      <c r="E81" s="36"/>
      <c r="F81" s="36"/>
      <c r="G81" s="36"/>
    </row>
    <row r="82" spans="1:7" ht="14.4" x14ac:dyDescent="0.3">
      <c r="A82" s="20"/>
      <c r="B82" s="36"/>
      <c r="C82" s="36"/>
      <c r="D82" s="36"/>
      <c r="E82" s="36"/>
      <c r="F82" s="36"/>
      <c r="G82" s="36"/>
    </row>
    <row r="83" spans="1:7" ht="14.4" x14ac:dyDescent="0.3">
      <c r="A83" s="20"/>
      <c r="B83" s="36"/>
      <c r="C83" s="36"/>
      <c r="D83" s="36"/>
      <c r="E83" s="36"/>
      <c r="F83" s="36"/>
      <c r="G83" s="36"/>
    </row>
    <row r="84" spans="1:7" ht="14.4" x14ac:dyDescent="0.3">
      <c r="A84" s="20"/>
      <c r="B84" s="36"/>
      <c r="C84" s="36"/>
      <c r="D84" s="36"/>
      <c r="E84" s="36"/>
      <c r="F84" s="36"/>
      <c r="G84" s="36"/>
    </row>
    <row r="85" spans="1:7" ht="14.4" x14ac:dyDescent="0.3">
      <c r="A85" s="20"/>
      <c r="B85" s="36"/>
      <c r="C85" s="36"/>
      <c r="D85" s="36"/>
      <c r="E85" s="36"/>
      <c r="F85" s="36"/>
      <c r="G85" s="36"/>
    </row>
    <row r="86" spans="1:7" ht="14.4" x14ac:dyDescent="0.3">
      <c r="A86" s="20"/>
      <c r="B86" s="36"/>
      <c r="C86" s="36"/>
      <c r="D86" s="36"/>
      <c r="E86" s="36"/>
      <c r="F86" s="36"/>
      <c r="G86" s="36"/>
    </row>
    <row r="87" spans="1:7" ht="14.4" x14ac:dyDescent="0.3">
      <c r="A87" s="20"/>
      <c r="B87" s="36"/>
      <c r="C87" s="36"/>
      <c r="D87" s="36"/>
      <c r="E87" s="36"/>
      <c r="F87" s="36"/>
      <c r="G87" s="36"/>
    </row>
    <row r="88" spans="1:7" ht="14.4" x14ac:dyDescent="0.3">
      <c r="A88" s="20"/>
      <c r="B88" s="36"/>
      <c r="C88" s="36"/>
      <c r="D88" s="36"/>
      <c r="E88" s="36"/>
      <c r="F88" s="36"/>
      <c r="G88" s="36"/>
    </row>
    <row r="89" spans="1:7" ht="14.4" x14ac:dyDescent="0.3">
      <c r="A89" s="20"/>
      <c r="B89" s="36"/>
      <c r="C89" s="36"/>
      <c r="D89" s="36"/>
      <c r="E89" s="36"/>
      <c r="F89" s="36"/>
      <c r="G89" s="36"/>
    </row>
    <row r="90" spans="1:7" ht="14.4" x14ac:dyDescent="0.3">
      <c r="A90" s="20"/>
      <c r="B90" s="36"/>
      <c r="C90" s="36"/>
      <c r="D90" s="36"/>
      <c r="E90" s="36"/>
      <c r="F90" s="36"/>
      <c r="G90" s="36"/>
    </row>
    <row r="91" spans="1:7" ht="14.4" x14ac:dyDescent="0.3">
      <c r="A91" s="20"/>
      <c r="B91" s="36"/>
      <c r="C91" s="36"/>
      <c r="D91" s="36"/>
      <c r="E91" s="36"/>
      <c r="F91" s="36"/>
      <c r="G91" s="36"/>
    </row>
    <row r="92" spans="1:7" ht="14.4" x14ac:dyDescent="0.3">
      <c r="A92" s="20"/>
      <c r="B92" s="36"/>
      <c r="C92" s="36"/>
      <c r="D92" s="36"/>
      <c r="E92" s="36"/>
      <c r="F92" s="36"/>
      <c r="G92" s="36"/>
    </row>
    <row r="93" spans="1:7" ht="14.4" x14ac:dyDescent="0.3">
      <c r="A93" s="20"/>
      <c r="B93" s="36"/>
      <c r="C93" s="36"/>
      <c r="D93" s="36"/>
      <c r="E93" s="36"/>
      <c r="F93" s="36"/>
      <c r="G93" s="36"/>
    </row>
    <row r="94" spans="1:7" ht="14.4" x14ac:dyDescent="0.3">
      <c r="A94" s="20"/>
      <c r="B94" s="36"/>
      <c r="C94" s="36"/>
      <c r="D94" s="36"/>
      <c r="E94" s="36"/>
      <c r="F94" s="36"/>
      <c r="G94" s="36"/>
    </row>
    <row r="95" spans="1:7" ht="14.4" x14ac:dyDescent="0.3">
      <c r="A95" s="20"/>
      <c r="B95" s="36"/>
      <c r="C95" s="36"/>
      <c r="D95" s="36"/>
      <c r="E95" s="36"/>
      <c r="F95" s="36"/>
      <c r="G95" s="36"/>
    </row>
    <row r="96" spans="1:7" ht="14.4" x14ac:dyDescent="0.3">
      <c r="A96" s="20"/>
      <c r="B96" s="36"/>
      <c r="C96" s="36"/>
      <c r="D96" s="36"/>
      <c r="E96" s="36"/>
      <c r="F96" s="36"/>
      <c r="G96" s="36"/>
    </row>
    <row r="97" spans="1:7" ht="14.4" x14ac:dyDescent="0.3">
      <c r="A97" s="20"/>
      <c r="B97" s="36"/>
      <c r="C97" s="36"/>
      <c r="D97" s="36"/>
      <c r="E97" s="36"/>
      <c r="F97" s="36"/>
      <c r="G97" s="36"/>
    </row>
    <row r="98" spans="1:7" ht="14.4" x14ac:dyDescent="0.3">
      <c r="A98" s="20"/>
      <c r="B98" s="36"/>
      <c r="C98" s="36"/>
      <c r="D98" s="36"/>
      <c r="E98" s="36"/>
      <c r="F98" s="36"/>
      <c r="G98" s="36"/>
    </row>
    <row r="99" spans="1:7" ht="14.4" x14ac:dyDescent="0.3">
      <c r="A99" s="20"/>
      <c r="B99" s="36"/>
      <c r="C99" s="36"/>
      <c r="D99" s="36"/>
      <c r="E99" s="36"/>
      <c r="F99" s="36"/>
      <c r="G99" s="36"/>
    </row>
    <row r="100" spans="1:7" ht="14.4" x14ac:dyDescent="0.3">
      <c r="A100" s="20"/>
      <c r="B100" s="36"/>
      <c r="C100" s="36"/>
      <c r="D100" s="36"/>
      <c r="E100" s="36"/>
      <c r="F100" s="36"/>
      <c r="G100" s="36"/>
    </row>
    <row r="101" spans="1:7" ht="14.4" x14ac:dyDescent="0.3">
      <c r="A101" s="20"/>
      <c r="B101" s="36"/>
      <c r="C101" s="36"/>
      <c r="D101" s="36"/>
      <c r="E101" s="36"/>
      <c r="F101" s="36"/>
      <c r="G101" s="36"/>
    </row>
    <row r="102" spans="1:7" ht="14.4" x14ac:dyDescent="0.3">
      <c r="A102" s="20"/>
      <c r="B102" s="36"/>
      <c r="C102" s="36"/>
      <c r="D102" s="36"/>
      <c r="E102" s="36"/>
      <c r="F102" s="36"/>
      <c r="G102" s="36"/>
    </row>
    <row r="103" spans="1:7" ht="14.4" x14ac:dyDescent="0.3">
      <c r="A103" s="20"/>
      <c r="B103" s="36"/>
      <c r="C103" s="36"/>
      <c r="D103" s="36"/>
      <c r="E103" s="36"/>
      <c r="F103" s="36"/>
      <c r="G103" s="36"/>
    </row>
    <row r="104" spans="1:7" ht="14.4" x14ac:dyDescent="0.3">
      <c r="A104" s="20"/>
      <c r="B104" s="36"/>
      <c r="C104" s="36"/>
      <c r="D104" s="36"/>
      <c r="E104" s="36"/>
      <c r="F104" s="36"/>
      <c r="G104" s="36"/>
    </row>
    <row r="105" spans="1:7" ht="14.4" x14ac:dyDescent="0.3">
      <c r="A105" s="20"/>
      <c r="B105" s="36"/>
      <c r="C105" s="36"/>
      <c r="D105" s="36"/>
      <c r="E105" s="36"/>
      <c r="F105" s="36"/>
      <c r="G105" s="36"/>
    </row>
    <row r="106" spans="1:7" ht="14.4" x14ac:dyDescent="0.3">
      <c r="A106" s="20"/>
      <c r="B106" s="36"/>
      <c r="C106" s="36"/>
      <c r="D106" s="36"/>
      <c r="E106" s="36"/>
      <c r="F106" s="36"/>
      <c r="G106" s="36"/>
    </row>
    <row r="107" spans="1:7" ht="14.4" x14ac:dyDescent="0.3">
      <c r="A107" s="20"/>
      <c r="B107" s="36"/>
      <c r="C107" s="36"/>
      <c r="D107" s="36"/>
      <c r="E107" s="36"/>
      <c r="F107" s="36"/>
      <c r="G107" s="36"/>
    </row>
    <row r="108" spans="1:7" ht="14.4" x14ac:dyDescent="0.3">
      <c r="A108" s="20"/>
      <c r="B108" s="36"/>
      <c r="C108" s="36"/>
      <c r="D108" s="36"/>
      <c r="E108" s="36"/>
      <c r="F108" s="36"/>
      <c r="G108" s="36"/>
    </row>
    <row r="109" spans="1:7" ht="14.4" x14ac:dyDescent="0.3">
      <c r="A109" s="20"/>
      <c r="B109" s="36"/>
      <c r="C109" s="36"/>
      <c r="D109" s="36"/>
      <c r="E109" s="36"/>
      <c r="F109" s="36"/>
      <c r="G109" s="36"/>
    </row>
    <row r="110" spans="1:7" ht="14.4" x14ac:dyDescent="0.3">
      <c r="A110" s="20"/>
      <c r="B110" s="36"/>
      <c r="C110" s="36"/>
      <c r="D110" s="36"/>
      <c r="E110" s="36"/>
      <c r="F110" s="36"/>
      <c r="G110" s="36"/>
    </row>
    <row r="111" spans="1:7" ht="14.4" x14ac:dyDescent="0.3">
      <c r="A111" s="20"/>
      <c r="B111" s="36"/>
      <c r="C111" s="36"/>
      <c r="D111" s="36"/>
      <c r="E111" s="36"/>
      <c r="F111" s="36"/>
      <c r="G111" s="36"/>
    </row>
    <row r="112" spans="1:7" ht="14.4" x14ac:dyDescent="0.3">
      <c r="A112" s="20"/>
      <c r="B112" s="36"/>
      <c r="C112" s="36"/>
      <c r="D112" s="36"/>
      <c r="E112" s="36"/>
      <c r="F112" s="36"/>
      <c r="G112" s="36"/>
    </row>
    <row r="113" spans="1:7" ht="14.4" x14ac:dyDescent="0.3">
      <c r="A113" s="20"/>
      <c r="B113" s="36"/>
      <c r="C113" s="36"/>
      <c r="D113" s="36"/>
      <c r="E113" s="36"/>
      <c r="F113" s="36"/>
      <c r="G113" s="36"/>
    </row>
    <row r="114" spans="1:7" ht="14.4" x14ac:dyDescent="0.3">
      <c r="A114" s="20"/>
      <c r="B114" s="36"/>
      <c r="C114" s="36"/>
      <c r="D114" s="36"/>
      <c r="E114" s="36"/>
      <c r="F114" s="36"/>
      <c r="G114" s="36"/>
    </row>
    <row r="115" spans="1:7" ht="14.4" x14ac:dyDescent="0.3">
      <c r="A115" s="20"/>
      <c r="B115" s="36"/>
      <c r="C115" s="36"/>
      <c r="D115" s="36"/>
      <c r="E115" s="36"/>
      <c r="F115" s="36"/>
      <c r="G115" s="36"/>
    </row>
    <row r="116" spans="1:7" ht="14.4" x14ac:dyDescent="0.3">
      <c r="A116" s="20"/>
      <c r="B116" s="36"/>
      <c r="C116" s="36"/>
      <c r="D116" s="36"/>
      <c r="E116" s="36"/>
      <c r="F116" s="36"/>
      <c r="G116" s="36"/>
    </row>
    <row r="117" spans="1:7" ht="14.4" x14ac:dyDescent="0.3">
      <c r="A117" s="20"/>
      <c r="B117" s="36"/>
      <c r="C117" s="36"/>
      <c r="D117" s="36"/>
      <c r="E117" s="36"/>
      <c r="F117" s="36"/>
      <c r="G117" s="36"/>
    </row>
    <row r="118" spans="1:7" ht="14.4" x14ac:dyDescent="0.3">
      <c r="A118" s="20"/>
      <c r="B118" s="36"/>
      <c r="C118" s="36"/>
      <c r="D118" s="36"/>
      <c r="E118" s="36"/>
      <c r="F118" s="36"/>
      <c r="G118" s="36"/>
    </row>
    <row r="119" spans="1:7" ht="14.4" x14ac:dyDescent="0.3">
      <c r="A119" s="20"/>
      <c r="B119" s="36"/>
      <c r="C119" s="36"/>
      <c r="D119" s="36"/>
      <c r="E119" s="36"/>
      <c r="F119" s="36"/>
      <c r="G119" s="36"/>
    </row>
    <row r="120" spans="1:7" ht="14.4" x14ac:dyDescent="0.3">
      <c r="A120" s="20"/>
      <c r="B120" s="36"/>
      <c r="C120" s="36"/>
      <c r="D120" s="36"/>
      <c r="E120" s="36"/>
      <c r="F120" s="36"/>
      <c r="G120" s="36"/>
    </row>
    <row r="121" spans="1:7" ht="14.4" x14ac:dyDescent="0.3">
      <c r="A121" s="20"/>
      <c r="B121" s="36"/>
      <c r="C121" s="36"/>
      <c r="D121" s="36"/>
      <c r="E121" s="36"/>
      <c r="F121" s="36"/>
      <c r="G121" s="36"/>
    </row>
    <row r="122" spans="1:7" ht="14.4" x14ac:dyDescent="0.3">
      <c r="A122" s="20"/>
      <c r="B122" s="36"/>
      <c r="C122" s="36"/>
      <c r="D122" s="36"/>
      <c r="E122" s="36"/>
      <c r="F122" s="36"/>
      <c r="G122" s="36"/>
    </row>
    <row r="123" spans="1:7" ht="14.4" x14ac:dyDescent="0.3">
      <c r="A123" s="20"/>
      <c r="B123" s="36"/>
      <c r="C123" s="36"/>
      <c r="D123" s="36"/>
      <c r="E123" s="36"/>
      <c r="F123" s="36"/>
      <c r="G123" s="36"/>
    </row>
    <row r="124" spans="1:7" ht="14.4" x14ac:dyDescent="0.3">
      <c r="A124" s="20"/>
      <c r="B124" s="36"/>
      <c r="C124" s="36"/>
      <c r="D124" s="36"/>
      <c r="E124" s="36"/>
      <c r="F124" s="36"/>
      <c r="G124" s="36"/>
    </row>
    <row r="125" spans="1:7" ht="14.4" x14ac:dyDescent="0.3">
      <c r="A125" s="20"/>
      <c r="B125" s="36"/>
      <c r="C125" s="36"/>
      <c r="D125" s="36"/>
      <c r="E125" s="36"/>
      <c r="F125" s="36"/>
      <c r="G125" s="36"/>
    </row>
    <row r="126" spans="1:7" ht="14.4" x14ac:dyDescent="0.3">
      <c r="A126" s="20"/>
      <c r="B126" s="36"/>
      <c r="C126" s="36"/>
      <c r="D126" s="36"/>
      <c r="E126" s="36"/>
      <c r="F126" s="36"/>
      <c r="G126" s="36"/>
    </row>
    <row r="127" spans="1:7" ht="14.4" x14ac:dyDescent="0.3">
      <c r="A127" s="20"/>
      <c r="B127" s="36"/>
      <c r="C127" s="36"/>
      <c r="D127" s="36"/>
      <c r="E127" s="36"/>
      <c r="F127" s="36"/>
      <c r="G127" s="36"/>
    </row>
    <row r="128" spans="1:7" ht="14.4" x14ac:dyDescent="0.3">
      <c r="A128" s="20"/>
      <c r="B128" s="36"/>
      <c r="C128" s="36"/>
      <c r="D128" s="36"/>
      <c r="E128" s="36"/>
      <c r="F128" s="36"/>
      <c r="G128" s="36"/>
    </row>
    <row r="129" spans="1:7" ht="14.4" x14ac:dyDescent="0.3">
      <c r="A129" s="20"/>
      <c r="B129" s="36"/>
      <c r="C129" s="36"/>
      <c r="D129" s="36"/>
      <c r="E129" s="36"/>
      <c r="F129" s="36"/>
      <c r="G129" s="36"/>
    </row>
    <row r="130" spans="1:7" ht="14.4" x14ac:dyDescent="0.3">
      <c r="A130" s="20"/>
      <c r="B130" s="36"/>
      <c r="C130" s="36"/>
      <c r="D130" s="36"/>
      <c r="E130" s="36"/>
      <c r="F130" s="36"/>
      <c r="G130" s="36"/>
    </row>
    <row r="131" spans="1:7" ht="14.4" x14ac:dyDescent="0.3">
      <c r="A131" s="20"/>
      <c r="B131" s="36"/>
      <c r="C131" s="36"/>
      <c r="D131" s="36"/>
      <c r="E131" s="36"/>
      <c r="F131" s="36"/>
      <c r="G131" s="36"/>
    </row>
    <row r="132" spans="1:7" ht="14.4" x14ac:dyDescent="0.3">
      <c r="A132" s="20"/>
      <c r="B132" s="36"/>
      <c r="C132" s="36"/>
      <c r="D132" s="36"/>
      <c r="E132" s="36"/>
      <c r="F132" s="36"/>
      <c r="G132" s="36"/>
    </row>
    <row r="133" spans="1:7" ht="14.4" x14ac:dyDescent="0.3">
      <c r="A133" s="20"/>
      <c r="B133" s="36"/>
      <c r="C133" s="36"/>
      <c r="D133" s="36"/>
      <c r="E133" s="36"/>
      <c r="F133" s="36"/>
      <c r="G133" s="36"/>
    </row>
    <row r="134" spans="1:7" ht="14.4" x14ac:dyDescent="0.3">
      <c r="A134" s="20"/>
      <c r="B134" s="36"/>
      <c r="C134" s="36"/>
      <c r="D134" s="36"/>
      <c r="E134" s="36"/>
      <c r="F134" s="36"/>
      <c r="G134" s="36"/>
    </row>
    <row r="135" spans="1:7" ht="14.4" x14ac:dyDescent="0.3">
      <c r="A135" s="20"/>
      <c r="B135" s="36"/>
      <c r="C135" s="36"/>
      <c r="D135" s="36"/>
      <c r="E135" s="36"/>
      <c r="F135" s="36"/>
      <c r="G135" s="36"/>
    </row>
    <row r="136" spans="1:7" ht="14.4" x14ac:dyDescent="0.3">
      <c r="A136" s="20"/>
      <c r="B136" s="36"/>
      <c r="C136" s="36"/>
      <c r="D136" s="36"/>
      <c r="E136" s="36"/>
      <c r="F136" s="36"/>
      <c r="G136" s="36"/>
    </row>
    <row r="137" spans="1:7" ht="14.4" x14ac:dyDescent="0.3">
      <c r="A137" s="20"/>
      <c r="B137" s="36"/>
      <c r="C137" s="36"/>
      <c r="D137" s="36"/>
      <c r="E137" s="36"/>
      <c r="F137" s="36"/>
      <c r="G137" s="36"/>
    </row>
    <row r="138" spans="1:7" ht="14.4" x14ac:dyDescent="0.3">
      <c r="A138" s="20"/>
      <c r="B138" s="36"/>
      <c r="C138" s="36"/>
      <c r="D138" s="36"/>
      <c r="E138" s="36"/>
      <c r="F138" s="36"/>
      <c r="G138" s="36"/>
    </row>
    <row r="139" spans="1:7" ht="14.4" x14ac:dyDescent="0.3">
      <c r="A139" s="20"/>
      <c r="B139" s="36"/>
      <c r="C139" s="36"/>
      <c r="D139" s="36"/>
      <c r="E139" s="36"/>
      <c r="F139" s="36"/>
      <c r="G139" s="36"/>
    </row>
    <row r="140" spans="1:7" ht="14.4" x14ac:dyDescent="0.3">
      <c r="A140" s="20"/>
      <c r="B140" s="36"/>
      <c r="C140" s="36"/>
      <c r="D140" s="36"/>
      <c r="E140" s="36"/>
      <c r="F140" s="36"/>
      <c r="G140" s="36"/>
    </row>
    <row r="141" spans="1:7" ht="14.4" x14ac:dyDescent="0.3">
      <c r="A141" s="20"/>
      <c r="B141" s="36"/>
      <c r="C141" s="36"/>
      <c r="D141" s="36"/>
      <c r="E141" s="36"/>
      <c r="F141" s="36"/>
      <c r="G141" s="36"/>
    </row>
    <row r="142" spans="1:7" ht="14.4" x14ac:dyDescent="0.3">
      <c r="A142" s="20"/>
      <c r="B142" s="36"/>
      <c r="C142" s="36"/>
      <c r="D142" s="36"/>
      <c r="E142" s="36"/>
      <c r="F142" s="36"/>
      <c r="G142" s="36"/>
    </row>
    <row r="143" spans="1:7" ht="14.4" x14ac:dyDescent="0.3">
      <c r="A143" s="20"/>
      <c r="B143" s="36"/>
      <c r="C143" s="36"/>
      <c r="D143" s="36"/>
      <c r="E143" s="36"/>
      <c r="F143" s="36"/>
      <c r="G143" s="36"/>
    </row>
    <row r="144" spans="1:7" ht="14.4" x14ac:dyDescent="0.3">
      <c r="A144" s="20"/>
      <c r="B144" s="36"/>
      <c r="C144" s="36"/>
      <c r="D144" s="36"/>
      <c r="E144" s="36"/>
      <c r="F144" s="36"/>
      <c r="G144" s="36"/>
    </row>
    <row r="145" spans="1:7" ht="14.4" x14ac:dyDescent="0.3">
      <c r="A145" s="20"/>
      <c r="B145" s="36"/>
      <c r="C145" s="36"/>
      <c r="D145" s="36"/>
      <c r="E145" s="36"/>
      <c r="F145" s="36"/>
      <c r="G145" s="36"/>
    </row>
    <row r="146" spans="1:7" ht="14.4" x14ac:dyDescent="0.3">
      <c r="A146" s="20"/>
      <c r="B146" s="36"/>
      <c r="C146" s="36"/>
      <c r="D146" s="36"/>
      <c r="E146" s="36"/>
      <c r="F146" s="36"/>
      <c r="G146" s="36"/>
    </row>
    <row r="147" spans="1:7" ht="14.4" x14ac:dyDescent="0.3">
      <c r="A147" s="20"/>
      <c r="B147" s="36"/>
      <c r="C147" s="36"/>
      <c r="D147" s="36"/>
      <c r="E147" s="36"/>
      <c r="F147" s="36"/>
      <c r="G147" s="36"/>
    </row>
    <row r="148" spans="1:7" ht="14.4" x14ac:dyDescent="0.3">
      <c r="A148" s="20"/>
      <c r="B148" s="36"/>
      <c r="C148" s="36"/>
      <c r="D148" s="36"/>
      <c r="E148" s="36"/>
      <c r="F148" s="36"/>
      <c r="G148" s="36"/>
    </row>
    <row r="149" spans="1:7" ht="14.4" x14ac:dyDescent="0.3">
      <c r="A149" s="20"/>
      <c r="B149" s="36"/>
      <c r="C149" s="36"/>
      <c r="D149" s="36"/>
      <c r="E149" s="36"/>
      <c r="F149" s="36"/>
      <c r="G149" s="36"/>
    </row>
    <row r="150" spans="1:7" ht="14.4" x14ac:dyDescent="0.3">
      <c r="A150" s="20"/>
      <c r="B150" s="36"/>
      <c r="C150" s="36"/>
      <c r="D150" s="36"/>
      <c r="E150" s="36"/>
      <c r="F150" s="36"/>
      <c r="G150" s="36"/>
    </row>
    <row r="151" spans="1:7" ht="14.4" x14ac:dyDescent="0.3">
      <c r="A151" s="20"/>
      <c r="B151" s="36"/>
      <c r="C151" s="36"/>
      <c r="D151" s="36"/>
      <c r="E151" s="36"/>
      <c r="F151" s="36"/>
      <c r="G151" s="36"/>
    </row>
    <row r="152" spans="1:7" ht="14.4" x14ac:dyDescent="0.3">
      <c r="A152" s="20"/>
      <c r="B152" s="36"/>
      <c r="C152" s="36"/>
      <c r="D152" s="36"/>
      <c r="E152" s="36"/>
      <c r="F152" s="36"/>
      <c r="G152" s="36"/>
    </row>
    <row r="153" spans="1:7" ht="14.4" x14ac:dyDescent="0.3">
      <c r="A153" s="20"/>
      <c r="B153" s="36"/>
      <c r="C153" s="36"/>
      <c r="D153" s="36"/>
      <c r="E153" s="36"/>
      <c r="F153" s="36"/>
      <c r="G153" s="36"/>
    </row>
    <row r="154" spans="1:7" ht="14.4" x14ac:dyDescent="0.3">
      <c r="A154" s="20"/>
      <c r="B154" s="36"/>
      <c r="C154" s="36"/>
      <c r="D154" s="36"/>
      <c r="E154" s="36"/>
      <c r="F154" s="36"/>
      <c r="G154" s="36"/>
    </row>
    <row r="155" spans="1:7" ht="14.4" x14ac:dyDescent="0.3">
      <c r="A155" s="20"/>
      <c r="B155" s="36"/>
      <c r="C155" s="36"/>
      <c r="D155" s="36"/>
      <c r="E155" s="36"/>
      <c r="F155" s="36"/>
      <c r="G155" s="36"/>
    </row>
    <row r="156" spans="1:7" ht="14.4" x14ac:dyDescent="0.3">
      <c r="A156" s="20"/>
      <c r="B156" s="36"/>
      <c r="C156" s="36"/>
      <c r="D156" s="36"/>
      <c r="E156" s="36"/>
      <c r="F156" s="36"/>
      <c r="G156" s="36"/>
    </row>
    <row r="157" spans="1:7" ht="14.4" x14ac:dyDescent="0.3">
      <c r="A157" s="20"/>
      <c r="B157" s="36"/>
      <c r="C157" s="36"/>
      <c r="D157" s="36"/>
      <c r="E157" s="36"/>
      <c r="F157" s="36"/>
      <c r="G157" s="36"/>
    </row>
    <row r="158" spans="1:7" ht="14.4" x14ac:dyDescent="0.3">
      <c r="A158" s="20"/>
      <c r="B158" s="36"/>
      <c r="C158" s="36"/>
      <c r="D158" s="36"/>
      <c r="E158" s="36"/>
      <c r="F158" s="36"/>
      <c r="G158" s="36"/>
    </row>
    <row r="159" spans="1:7" ht="14.4" x14ac:dyDescent="0.3">
      <c r="A159" s="20"/>
      <c r="B159" s="36"/>
      <c r="C159" s="36"/>
      <c r="D159" s="36"/>
      <c r="E159" s="36"/>
      <c r="F159" s="36"/>
      <c r="G159" s="36"/>
    </row>
    <row r="160" spans="1:7" ht="14.4" x14ac:dyDescent="0.3">
      <c r="A160" s="20"/>
      <c r="B160" s="36"/>
      <c r="C160" s="36"/>
      <c r="D160" s="36"/>
      <c r="E160" s="36"/>
      <c r="F160" s="36"/>
      <c r="G160" s="36"/>
    </row>
    <row r="161" spans="1:7" ht="14.4" x14ac:dyDescent="0.3">
      <c r="A161" s="20"/>
      <c r="B161" s="36"/>
      <c r="C161" s="36"/>
      <c r="D161" s="36"/>
      <c r="E161" s="36"/>
      <c r="F161" s="36"/>
      <c r="G161" s="36"/>
    </row>
    <row r="162" spans="1:7" ht="14.4" x14ac:dyDescent="0.3">
      <c r="A162" s="20"/>
      <c r="B162" s="36"/>
      <c r="C162" s="36"/>
      <c r="D162" s="36"/>
      <c r="E162" s="36"/>
      <c r="F162" s="36"/>
      <c r="G162" s="36"/>
    </row>
    <row r="163" spans="1:7" ht="14.4" x14ac:dyDescent="0.3">
      <c r="A163" s="20"/>
      <c r="B163" s="36"/>
      <c r="C163" s="36"/>
      <c r="D163" s="36"/>
      <c r="E163" s="36"/>
      <c r="F163" s="36"/>
      <c r="G163" s="36"/>
    </row>
    <row r="164" spans="1:7" ht="14.4" x14ac:dyDescent="0.3">
      <c r="A164" s="20"/>
      <c r="B164" s="36"/>
      <c r="C164" s="36"/>
      <c r="D164" s="36"/>
      <c r="E164" s="36"/>
      <c r="F164" s="36"/>
      <c r="G164" s="36"/>
    </row>
    <row r="165" spans="1:7" ht="14.4" x14ac:dyDescent="0.3">
      <c r="A165" s="20"/>
      <c r="B165" s="36"/>
      <c r="C165" s="36"/>
      <c r="D165" s="36"/>
      <c r="E165" s="36"/>
      <c r="F165" s="36"/>
      <c r="G165" s="36"/>
    </row>
    <row r="166" spans="1:7" ht="14.4" x14ac:dyDescent="0.3">
      <c r="A166" s="20"/>
      <c r="B166" s="36"/>
      <c r="C166" s="36"/>
      <c r="D166" s="36"/>
      <c r="E166" s="36"/>
      <c r="F166" s="36"/>
      <c r="G166" s="36"/>
    </row>
    <row r="167" spans="1:7" ht="14.4" x14ac:dyDescent="0.3">
      <c r="A167" s="20"/>
      <c r="B167" s="36"/>
      <c r="C167" s="36"/>
      <c r="D167" s="36"/>
      <c r="E167" s="36"/>
      <c r="F167" s="36"/>
      <c r="G167" s="36"/>
    </row>
    <row r="168" spans="1:7" ht="14.4" x14ac:dyDescent="0.3">
      <c r="A168" s="20"/>
      <c r="B168" s="36"/>
      <c r="C168" s="36"/>
      <c r="D168" s="36"/>
      <c r="E168" s="36"/>
      <c r="F168" s="36"/>
      <c r="G168" s="36"/>
    </row>
    <row r="169" spans="1:7" ht="14.4" x14ac:dyDescent="0.3">
      <c r="A169" s="20"/>
      <c r="B169" s="36"/>
      <c r="C169" s="36"/>
      <c r="D169" s="36"/>
      <c r="E169" s="36"/>
      <c r="F169" s="36"/>
      <c r="G169" s="36"/>
    </row>
    <row r="170" spans="1:7" ht="14.4" x14ac:dyDescent="0.3">
      <c r="A170" s="20"/>
      <c r="B170" s="36"/>
      <c r="C170" s="36"/>
      <c r="D170" s="36"/>
      <c r="E170" s="36"/>
      <c r="F170" s="36"/>
      <c r="G170" s="36"/>
    </row>
    <row r="171" spans="1:7" ht="14.4" x14ac:dyDescent="0.3">
      <c r="A171" s="20"/>
      <c r="B171" s="36"/>
      <c r="C171" s="36"/>
      <c r="D171" s="36"/>
      <c r="E171" s="36"/>
      <c r="F171" s="36"/>
      <c r="G171" s="36"/>
    </row>
    <row r="172" spans="1:7" ht="14.4" x14ac:dyDescent="0.3">
      <c r="A172" s="20"/>
      <c r="B172" s="36"/>
      <c r="C172" s="36"/>
      <c r="D172" s="36"/>
      <c r="E172" s="36"/>
      <c r="F172" s="36"/>
      <c r="G172" s="36"/>
    </row>
    <row r="173" spans="1:7" ht="14.4" x14ac:dyDescent="0.3">
      <c r="A173" s="20"/>
      <c r="B173" s="36"/>
      <c r="C173" s="36"/>
      <c r="D173" s="36"/>
      <c r="E173" s="36"/>
      <c r="F173" s="36"/>
      <c r="G173" s="36"/>
    </row>
    <row r="174" spans="1:7" ht="14.4" x14ac:dyDescent="0.3">
      <c r="A174" s="20"/>
      <c r="B174" s="36"/>
      <c r="C174" s="36"/>
      <c r="D174" s="36"/>
      <c r="E174" s="36"/>
      <c r="F174" s="36"/>
      <c r="G174" s="36"/>
    </row>
    <row r="175" spans="1:7" ht="14.4" x14ac:dyDescent="0.3">
      <c r="A175" s="20"/>
      <c r="B175" s="36"/>
      <c r="C175" s="36"/>
      <c r="D175" s="36"/>
      <c r="E175" s="36"/>
      <c r="F175" s="36"/>
      <c r="G175" s="36"/>
    </row>
    <row r="176" spans="1:7" ht="14.4" x14ac:dyDescent="0.3">
      <c r="A176" s="20"/>
      <c r="B176" s="36"/>
      <c r="C176" s="36"/>
      <c r="D176" s="36"/>
      <c r="E176" s="36"/>
      <c r="F176" s="36"/>
      <c r="G176" s="36"/>
    </row>
    <row r="177" spans="1:7" ht="14.4" x14ac:dyDescent="0.3">
      <c r="A177" s="20"/>
      <c r="B177" s="36"/>
      <c r="C177" s="36"/>
      <c r="D177" s="36"/>
      <c r="E177" s="36"/>
      <c r="F177" s="36"/>
      <c r="G177" s="36"/>
    </row>
    <row r="178" spans="1:7" ht="14.4" x14ac:dyDescent="0.3">
      <c r="A178" s="20"/>
      <c r="B178" s="36"/>
      <c r="C178" s="36"/>
      <c r="D178" s="36"/>
      <c r="E178" s="36"/>
      <c r="F178" s="36"/>
      <c r="G178" s="36"/>
    </row>
    <row r="179" spans="1:7" ht="14.4" x14ac:dyDescent="0.3">
      <c r="A179" s="20"/>
      <c r="B179" s="36"/>
      <c r="C179" s="36"/>
      <c r="D179" s="36"/>
      <c r="E179" s="36"/>
      <c r="F179" s="36"/>
      <c r="G179" s="36"/>
    </row>
    <row r="180" spans="1:7" ht="14.4" x14ac:dyDescent="0.3">
      <c r="A180" s="20"/>
      <c r="B180" s="36"/>
      <c r="C180" s="36"/>
      <c r="D180" s="36"/>
      <c r="E180" s="36"/>
      <c r="F180" s="36"/>
      <c r="G180" s="36"/>
    </row>
    <row r="181" spans="1:7" ht="14.4" x14ac:dyDescent="0.3">
      <c r="A181" s="20"/>
      <c r="B181" s="36"/>
      <c r="C181" s="36"/>
      <c r="D181" s="36"/>
      <c r="E181" s="36"/>
      <c r="F181" s="36"/>
      <c r="G181" s="36"/>
    </row>
    <row r="182" spans="1:7" ht="14.4" x14ac:dyDescent="0.3">
      <c r="A182" s="20"/>
      <c r="B182" s="36"/>
      <c r="C182" s="36"/>
      <c r="D182" s="36"/>
      <c r="E182" s="36"/>
      <c r="F182" s="36"/>
      <c r="G182" s="36"/>
    </row>
    <row r="183" spans="1:7" ht="14.4" x14ac:dyDescent="0.3">
      <c r="A183" s="20"/>
      <c r="B183" s="36"/>
      <c r="C183" s="36"/>
      <c r="D183" s="36"/>
      <c r="E183" s="36"/>
      <c r="F183" s="36"/>
      <c r="G183" s="36"/>
    </row>
    <row r="184" spans="1:7" ht="14.4" x14ac:dyDescent="0.3">
      <c r="A184" s="20"/>
      <c r="B184" s="36"/>
      <c r="C184" s="36"/>
      <c r="D184" s="36"/>
      <c r="E184" s="36"/>
      <c r="F184" s="36"/>
      <c r="G184" s="36"/>
    </row>
    <row r="185" spans="1:7" ht="14.4" x14ac:dyDescent="0.3">
      <c r="A185" s="20"/>
      <c r="B185" s="36"/>
      <c r="C185" s="36"/>
      <c r="D185" s="36"/>
      <c r="E185" s="36"/>
      <c r="F185" s="36"/>
      <c r="G185" s="36"/>
    </row>
    <row r="186" spans="1:7" ht="14.4" x14ac:dyDescent="0.3">
      <c r="A186" s="20"/>
      <c r="B186" s="36"/>
      <c r="C186" s="36"/>
      <c r="D186" s="36"/>
      <c r="E186" s="36"/>
      <c r="F186" s="36"/>
      <c r="G186" s="36"/>
    </row>
    <row r="187" spans="1:7" ht="14.4" x14ac:dyDescent="0.3">
      <c r="A187" s="20"/>
      <c r="B187" s="36"/>
      <c r="C187" s="36"/>
      <c r="D187" s="36"/>
      <c r="E187" s="36"/>
      <c r="F187" s="36"/>
      <c r="G187" s="36"/>
    </row>
    <row r="188" spans="1:7" ht="14.4" x14ac:dyDescent="0.3">
      <c r="A188" s="20"/>
      <c r="B188" s="36"/>
      <c r="C188" s="36"/>
      <c r="D188" s="36"/>
      <c r="E188" s="36"/>
      <c r="F188" s="36"/>
      <c r="G188" s="36"/>
    </row>
    <row r="189" spans="1:7" ht="14.4" x14ac:dyDescent="0.3">
      <c r="A189" s="20"/>
      <c r="B189" s="36"/>
      <c r="C189" s="36"/>
      <c r="D189" s="36"/>
      <c r="E189" s="36"/>
      <c r="F189" s="36"/>
      <c r="G189" s="36"/>
    </row>
    <row r="190" spans="1:7" ht="14.4" x14ac:dyDescent="0.3">
      <c r="A190" s="20"/>
      <c r="B190" s="36"/>
      <c r="C190" s="36"/>
      <c r="D190" s="36"/>
      <c r="E190" s="36"/>
      <c r="F190" s="36"/>
      <c r="G190" s="36"/>
    </row>
    <row r="191" spans="1:7" ht="14.4" x14ac:dyDescent="0.3">
      <c r="A191" s="20"/>
      <c r="B191" s="36"/>
      <c r="C191" s="36"/>
      <c r="D191" s="36"/>
      <c r="E191" s="36"/>
      <c r="F191" s="36"/>
      <c r="G191" s="36"/>
    </row>
    <row r="192" spans="1:7" ht="14.4" x14ac:dyDescent="0.3">
      <c r="A192" s="20"/>
      <c r="B192" s="36"/>
      <c r="C192" s="36"/>
      <c r="D192" s="36"/>
      <c r="E192" s="36"/>
      <c r="F192" s="36"/>
      <c r="G192" s="36"/>
    </row>
    <row r="193" spans="1:7" ht="14.4" x14ac:dyDescent="0.3">
      <c r="A193" s="20"/>
      <c r="B193" s="36"/>
      <c r="C193" s="36"/>
      <c r="D193" s="36"/>
      <c r="E193" s="36"/>
      <c r="F193" s="36"/>
      <c r="G193" s="36"/>
    </row>
    <row r="194" spans="1:7" ht="14.4" x14ac:dyDescent="0.3">
      <c r="A194" s="20"/>
      <c r="B194" s="36"/>
      <c r="C194" s="36"/>
      <c r="D194" s="36"/>
      <c r="E194" s="36"/>
      <c r="F194" s="36"/>
      <c r="G194" s="36"/>
    </row>
    <row r="195" spans="1:7" ht="14.4" x14ac:dyDescent="0.3">
      <c r="A195" s="20"/>
      <c r="B195" s="36"/>
      <c r="C195" s="36"/>
      <c r="D195" s="36"/>
      <c r="E195" s="36"/>
      <c r="F195" s="36"/>
      <c r="G195" s="36"/>
    </row>
    <row r="196" spans="1:7" ht="14.4" x14ac:dyDescent="0.3">
      <c r="A196" s="20"/>
      <c r="B196" s="36"/>
      <c r="C196" s="36"/>
      <c r="D196" s="36"/>
      <c r="E196" s="36"/>
      <c r="F196" s="36"/>
      <c r="G196" s="36"/>
    </row>
    <row r="197" spans="1:7" ht="14.4" x14ac:dyDescent="0.3">
      <c r="A197" s="20"/>
      <c r="B197" s="36"/>
      <c r="C197" s="36"/>
      <c r="D197" s="36"/>
      <c r="E197" s="36"/>
      <c r="F197" s="36"/>
      <c r="G197" s="36"/>
    </row>
    <row r="198" spans="1:7" ht="14.4" x14ac:dyDescent="0.3">
      <c r="A198" s="20"/>
      <c r="B198" s="36"/>
      <c r="C198" s="36"/>
      <c r="D198" s="36"/>
      <c r="E198" s="36"/>
      <c r="F198" s="36"/>
      <c r="G198" s="36"/>
    </row>
    <row r="199" spans="1:7" ht="14.4" x14ac:dyDescent="0.3">
      <c r="A199" s="20"/>
      <c r="B199" s="36"/>
      <c r="C199" s="36"/>
      <c r="D199" s="36"/>
      <c r="E199" s="36"/>
      <c r="F199" s="36"/>
      <c r="G199" s="36"/>
    </row>
    <row r="200" spans="1:7" ht="14.4" x14ac:dyDescent="0.3">
      <c r="A200" s="20"/>
      <c r="B200" s="36"/>
      <c r="C200" s="36"/>
      <c r="D200" s="36"/>
      <c r="E200" s="36"/>
      <c r="F200" s="36"/>
      <c r="G200" s="36"/>
    </row>
    <row r="201" spans="1:7" ht="14.4" x14ac:dyDescent="0.3">
      <c r="A201" s="20"/>
      <c r="B201" s="36"/>
      <c r="C201" s="36"/>
      <c r="D201" s="36"/>
      <c r="E201" s="36"/>
      <c r="F201" s="36"/>
      <c r="G201" s="36"/>
    </row>
    <row r="202" spans="1:7" ht="14.4" x14ac:dyDescent="0.3">
      <c r="A202" s="20"/>
      <c r="B202" s="36"/>
      <c r="C202" s="36"/>
      <c r="D202" s="36"/>
      <c r="E202" s="36"/>
      <c r="F202" s="36"/>
      <c r="G202" s="36"/>
    </row>
    <row r="203" spans="1:7" ht="14.4" x14ac:dyDescent="0.3">
      <c r="A203" s="20"/>
      <c r="B203" s="36"/>
      <c r="C203" s="36"/>
      <c r="D203" s="36"/>
      <c r="E203" s="36"/>
      <c r="F203" s="36"/>
      <c r="G203" s="36"/>
    </row>
    <row r="204" spans="1:7" ht="14.4" x14ac:dyDescent="0.3">
      <c r="A204" s="20"/>
      <c r="B204" s="36"/>
      <c r="C204" s="36"/>
      <c r="D204" s="36"/>
      <c r="E204" s="36"/>
      <c r="F204" s="36"/>
      <c r="G204" s="36"/>
    </row>
    <row r="205" spans="1:7" ht="14.4" x14ac:dyDescent="0.3">
      <c r="A205" s="20"/>
      <c r="B205" s="36"/>
      <c r="C205" s="36"/>
      <c r="D205" s="36"/>
      <c r="E205" s="36"/>
      <c r="F205" s="36"/>
      <c r="G205" s="36"/>
    </row>
    <row r="206" spans="1:7" ht="14.4" x14ac:dyDescent="0.3">
      <c r="A206" s="20"/>
      <c r="B206" s="36"/>
      <c r="C206" s="36"/>
      <c r="D206" s="36"/>
      <c r="E206" s="36"/>
      <c r="F206" s="36"/>
      <c r="G206" s="36"/>
    </row>
    <row r="207" spans="1:7" ht="14.4" x14ac:dyDescent="0.3">
      <c r="A207" s="20"/>
      <c r="B207" s="36"/>
      <c r="C207" s="36"/>
      <c r="D207" s="36"/>
      <c r="E207" s="36"/>
      <c r="F207" s="36"/>
      <c r="G207" s="36"/>
    </row>
    <row r="208" spans="1:7" ht="14.4" x14ac:dyDescent="0.3">
      <c r="A208" s="20"/>
      <c r="B208" s="36"/>
      <c r="C208" s="36"/>
      <c r="D208" s="36"/>
      <c r="E208" s="36"/>
      <c r="F208" s="36"/>
      <c r="G208" s="36"/>
    </row>
    <row r="209" spans="1:7" ht="14.4" x14ac:dyDescent="0.3">
      <c r="A209" s="20"/>
      <c r="B209" s="36"/>
      <c r="C209" s="36"/>
      <c r="D209" s="36"/>
      <c r="E209" s="36"/>
      <c r="F209" s="36"/>
      <c r="G209" s="36"/>
    </row>
    <row r="210" spans="1:7" ht="14.4" x14ac:dyDescent="0.3">
      <c r="A210" s="20"/>
      <c r="B210" s="36"/>
      <c r="C210" s="36"/>
      <c r="D210" s="36"/>
      <c r="E210" s="36"/>
      <c r="F210" s="36"/>
      <c r="G210" s="36"/>
    </row>
    <row r="211" spans="1:7" ht="14.4" x14ac:dyDescent="0.3">
      <c r="A211" s="20"/>
      <c r="B211" s="36"/>
      <c r="C211" s="36"/>
      <c r="D211" s="36"/>
      <c r="E211" s="36"/>
      <c r="F211" s="36"/>
      <c r="G211" s="36"/>
    </row>
    <row r="212" spans="1:7" ht="14.4" x14ac:dyDescent="0.3">
      <c r="A212" s="20"/>
      <c r="B212" s="36"/>
      <c r="C212" s="36"/>
      <c r="D212" s="36"/>
      <c r="E212" s="36"/>
      <c r="F212" s="36"/>
      <c r="G212" s="36"/>
    </row>
    <row r="213" spans="1:7" ht="14.4" x14ac:dyDescent="0.3">
      <c r="A213" s="20"/>
      <c r="B213" s="36"/>
      <c r="C213" s="36"/>
      <c r="D213" s="36"/>
      <c r="E213" s="36"/>
      <c r="F213" s="36"/>
      <c r="G213" s="36"/>
    </row>
    <row r="214" spans="1:7" ht="14.4" x14ac:dyDescent="0.3">
      <c r="A214" s="20"/>
      <c r="B214" s="36"/>
      <c r="C214" s="36"/>
      <c r="D214" s="36"/>
      <c r="E214" s="36"/>
      <c r="F214" s="36"/>
      <c r="G214" s="36"/>
    </row>
    <row r="215" spans="1:7" ht="14.4" x14ac:dyDescent="0.3">
      <c r="A215" s="20"/>
      <c r="B215" s="36"/>
      <c r="C215" s="36"/>
      <c r="D215" s="36"/>
      <c r="E215" s="36"/>
      <c r="F215" s="36"/>
      <c r="G215" s="36"/>
    </row>
    <row r="216" spans="1:7" ht="14.4" x14ac:dyDescent="0.3">
      <c r="A216" s="20"/>
      <c r="B216" s="36"/>
      <c r="C216" s="36"/>
      <c r="D216" s="36"/>
      <c r="E216" s="36"/>
      <c r="F216" s="36"/>
      <c r="G216" s="36"/>
    </row>
    <row r="217" spans="1:7" ht="14.4" x14ac:dyDescent="0.3">
      <c r="A217" s="20"/>
      <c r="B217" s="36"/>
      <c r="C217" s="36"/>
      <c r="D217" s="36"/>
      <c r="E217" s="36"/>
      <c r="F217" s="36"/>
      <c r="G217" s="36"/>
    </row>
    <row r="218" spans="1:7" ht="14.4" x14ac:dyDescent="0.3">
      <c r="A218" s="20"/>
      <c r="B218" s="36"/>
      <c r="C218" s="36"/>
      <c r="D218" s="36"/>
      <c r="E218" s="36"/>
      <c r="F218" s="36"/>
      <c r="G218" s="36"/>
    </row>
    <row r="219" spans="1:7" ht="14.4" x14ac:dyDescent="0.3">
      <c r="A219" s="20"/>
      <c r="B219" s="36"/>
      <c r="C219" s="36"/>
      <c r="D219" s="36"/>
      <c r="E219" s="36"/>
      <c r="F219" s="36"/>
      <c r="G219" s="36"/>
    </row>
    <row r="220" spans="1:7" ht="14.4" x14ac:dyDescent="0.3">
      <c r="A220" s="20"/>
      <c r="B220" s="36"/>
      <c r="C220" s="36"/>
      <c r="D220" s="36"/>
      <c r="E220" s="36"/>
      <c r="F220" s="36"/>
      <c r="G220" s="36"/>
    </row>
    <row r="221" spans="1:7" ht="14.4" x14ac:dyDescent="0.3">
      <c r="A221" s="20"/>
      <c r="B221" s="36"/>
      <c r="C221" s="36"/>
      <c r="D221" s="36"/>
      <c r="E221" s="36"/>
      <c r="F221" s="36"/>
      <c r="G221" s="36"/>
    </row>
    <row r="222" spans="1:7" ht="14.4" x14ac:dyDescent="0.3">
      <c r="A222" s="20"/>
      <c r="B222" s="36"/>
      <c r="C222" s="36"/>
      <c r="D222" s="36"/>
      <c r="E222" s="36"/>
      <c r="F222" s="36"/>
      <c r="G222" s="36"/>
    </row>
    <row r="223" spans="1:7" ht="14.4" x14ac:dyDescent="0.3">
      <c r="A223" s="20"/>
      <c r="B223" s="36"/>
      <c r="C223" s="36"/>
      <c r="D223" s="36"/>
      <c r="E223" s="36"/>
      <c r="F223" s="36"/>
      <c r="G223" s="36"/>
    </row>
    <row r="224" spans="1:7" ht="14.4" x14ac:dyDescent="0.3">
      <c r="A224" s="20"/>
      <c r="B224" s="36"/>
      <c r="C224" s="36"/>
      <c r="D224" s="36"/>
      <c r="E224" s="36"/>
      <c r="F224" s="36"/>
      <c r="G224" s="36"/>
    </row>
    <row r="225" spans="1:7" ht="14.4" x14ac:dyDescent="0.3">
      <c r="A225" s="20"/>
      <c r="B225" s="36"/>
      <c r="C225" s="36"/>
      <c r="D225" s="36"/>
      <c r="E225" s="36"/>
      <c r="F225" s="36"/>
      <c r="G225" s="36"/>
    </row>
    <row r="226" spans="1:7" ht="14.4" x14ac:dyDescent="0.3">
      <c r="A226" s="20"/>
      <c r="B226" s="36"/>
      <c r="C226" s="36"/>
      <c r="D226" s="36"/>
      <c r="E226" s="36"/>
      <c r="F226" s="36"/>
      <c r="G226" s="36"/>
    </row>
    <row r="227" spans="1:7" ht="14.4" x14ac:dyDescent="0.3">
      <c r="A227" s="20"/>
      <c r="B227" s="36"/>
      <c r="C227" s="36"/>
      <c r="D227" s="36"/>
      <c r="E227" s="36"/>
      <c r="F227" s="36"/>
      <c r="G227" s="36"/>
    </row>
    <row r="228" spans="1:7" ht="14.4" x14ac:dyDescent="0.3">
      <c r="A228" s="20"/>
      <c r="B228" s="36"/>
      <c r="C228" s="36"/>
      <c r="D228" s="36"/>
      <c r="E228" s="36"/>
      <c r="F228" s="36"/>
      <c r="G228" s="36"/>
    </row>
    <row r="229" spans="1:7" ht="14.4" x14ac:dyDescent="0.3">
      <c r="A229" s="20"/>
      <c r="B229" s="36"/>
      <c r="C229" s="36"/>
      <c r="D229" s="36"/>
      <c r="E229" s="36"/>
      <c r="F229" s="36"/>
      <c r="G229" s="36"/>
    </row>
    <row r="230" spans="1:7" ht="14.4" x14ac:dyDescent="0.3">
      <c r="A230" s="20"/>
      <c r="B230" s="36"/>
      <c r="C230" s="36"/>
      <c r="D230" s="36"/>
      <c r="E230" s="36"/>
      <c r="F230" s="36"/>
      <c r="G230" s="36"/>
    </row>
    <row r="231" spans="1:7" ht="14.4" x14ac:dyDescent="0.3">
      <c r="A231" s="20"/>
      <c r="B231" s="36"/>
      <c r="C231" s="36"/>
      <c r="D231" s="36"/>
      <c r="E231" s="36"/>
      <c r="F231" s="36"/>
      <c r="G231" s="36"/>
    </row>
    <row r="232" spans="1:7" ht="14.4" x14ac:dyDescent="0.3">
      <c r="A232" s="20"/>
      <c r="B232" s="36"/>
      <c r="C232" s="36"/>
      <c r="D232" s="36"/>
      <c r="E232" s="36"/>
      <c r="F232" s="36"/>
      <c r="G232" s="36"/>
    </row>
    <row r="233" spans="1:7" ht="14.4" x14ac:dyDescent="0.3">
      <c r="A233" s="20"/>
      <c r="B233" s="36"/>
      <c r="C233" s="36"/>
      <c r="D233" s="36"/>
      <c r="E233" s="36"/>
      <c r="F233" s="36"/>
      <c r="G233" s="36"/>
    </row>
    <row r="234" spans="1:7" ht="14.4" x14ac:dyDescent="0.3">
      <c r="A234" s="20"/>
      <c r="B234" s="36"/>
      <c r="C234" s="36"/>
      <c r="D234" s="36"/>
      <c r="E234" s="36"/>
      <c r="F234" s="36"/>
      <c r="G234" s="36"/>
    </row>
    <row r="235" spans="1:7" ht="14.4" x14ac:dyDescent="0.3">
      <c r="A235" s="20"/>
      <c r="B235" s="36"/>
      <c r="C235" s="36"/>
      <c r="D235" s="36"/>
      <c r="E235" s="36"/>
      <c r="F235" s="36"/>
      <c r="G235" s="36"/>
    </row>
    <row r="236" spans="1:7" ht="14.4" x14ac:dyDescent="0.3">
      <c r="A236" s="20"/>
      <c r="B236" s="36"/>
      <c r="C236" s="36"/>
      <c r="D236" s="36"/>
      <c r="E236" s="36"/>
      <c r="F236" s="36"/>
      <c r="G236" s="36"/>
    </row>
    <row r="237" spans="1:7" ht="14.4" x14ac:dyDescent="0.3">
      <c r="A237" s="20"/>
      <c r="B237" s="36"/>
      <c r="C237" s="36"/>
      <c r="D237" s="36"/>
      <c r="E237" s="36"/>
      <c r="F237" s="36"/>
      <c r="G237" s="36"/>
    </row>
    <row r="238" spans="1:7" ht="14.4" x14ac:dyDescent="0.3">
      <c r="A238" s="20"/>
      <c r="B238" s="36"/>
      <c r="C238" s="36"/>
      <c r="D238" s="36"/>
      <c r="E238" s="36"/>
      <c r="F238" s="36"/>
      <c r="G238" s="36"/>
    </row>
    <row r="239" spans="1:7" ht="14.4" x14ac:dyDescent="0.3">
      <c r="A239" s="20"/>
      <c r="B239" s="36"/>
      <c r="C239" s="36"/>
      <c r="D239" s="36"/>
      <c r="E239" s="36"/>
      <c r="F239" s="36"/>
      <c r="G239" s="36"/>
    </row>
    <row r="240" spans="1:7" ht="14.4" x14ac:dyDescent="0.3">
      <c r="A240" s="20"/>
      <c r="B240" s="36"/>
      <c r="C240" s="36"/>
      <c r="D240" s="36"/>
      <c r="E240" s="36"/>
      <c r="F240" s="36"/>
      <c r="G240" s="36"/>
    </row>
    <row r="241" spans="1:7" ht="14.4" x14ac:dyDescent="0.3">
      <c r="A241" s="20"/>
      <c r="B241" s="36"/>
      <c r="C241" s="36"/>
      <c r="D241" s="36"/>
      <c r="E241" s="36"/>
      <c r="F241" s="36"/>
      <c r="G241" s="36"/>
    </row>
    <row r="242" spans="1:7" ht="14.4" x14ac:dyDescent="0.3">
      <c r="A242" s="20"/>
      <c r="B242" s="36"/>
      <c r="C242" s="36"/>
      <c r="D242" s="36"/>
      <c r="E242" s="36"/>
      <c r="F242" s="36"/>
      <c r="G242" s="36"/>
    </row>
    <row r="243" spans="1:7" ht="14.4" x14ac:dyDescent="0.3">
      <c r="A243" s="20"/>
      <c r="B243" s="36"/>
      <c r="C243" s="36"/>
      <c r="D243" s="36"/>
      <c r="E243" s="36"/>
      <c r="F243" s="36"/>
      <c r="G243" s="36"/>
    </row>
    <row r="244" spans="1:7" ht="14.4" x14ac:dyDescent="0.3">
      <c r="A244" s="20"/>
      <c r="B244" s="36"/>
      <c r="C244" s="36"/>
      <c r="D244" s="36"/>
      <c r="E244" s="36"/>
      <c r="F244" s="36"/>
      <c r="G244" s="36"/>
    </row>
    <row r="245" spans="1:7" ht="14.4" x14ac:dyDescent="0.3">
      <c r="A245" s="20"/>
      <c r="B245" s="36"/>
      <c r="C245" s="36"/>
      <c r="D245" s="36"/>
      <c r="E245" s="36"/>
      <c r="F245" s="36"/>
      <c r="G245" s="36"/>
    </row>
    <row r="246" spans="1:7" ht="14.4" x14ac:dyDescent="0.3">
      <c r="A246" s="20"/>
      <c r="B246" s="36"/>
      <c r="C246" s="36"/>
      <c r="D246" s="36"/>
      <c r="E246" s="36"/>
      <c r="F246" s="36"/>
      <c r="G246" s="36"/>
    </row>
    <row r="247" spans="1:7" ht="14.4" x14ac:dyDescent="0.3">
      <c r="A247" s="20"/>
      <c r="B247" s="36"/>
      <c r="C247" s="36"/>
      <c r="D247" s="36"/>
      <c r="E247" s="36"/>
      <c r="F247" s="36"/>
      <c r="G247" s="36"/>
    </row>
    <row r="248" spans="1:7" ht="14.4" x14ac:dyDescent="0.3">
      <c r="A248" s="20"/>
      <c r="B248" s="36"/>
      <c r="C248" s="36"/>
      <c r="D248" s="36"/>
      <c r="E248" s="36"/>
      <c r="F248" s="36"/>
      <c r="G248" s="36"/>
    </row>
    <row r="249" spans="1:7" ht="14.4" x14ac:dyDescent="0.3">
      <c r="A249" s="20"/>
      <c r="B249" s="36"/>
      <c r="C249" s="36"/>
      <c r="D249" s="36"/>
      <c r="E249" s="36"/>
      <c r="F249" s="36"/>
      <c r="G249" s="36"/>
    </row>
    <row r="250" spans="1:7" ht="14.4" x14ac:dyDescent="0.3">
      <c r="A250" s="20"/>
      <c r="B250" s="36"/>
      <c r="C250" s="36"/>
      <c r="D250" s="36"/>
      <c r="E250" s="36"/>
      <c r="F250" s="36"/>
      <c r="G250" s="36"/>
    </row>
    <row r="251" spans="1:7" ht="14.4" x14ac:dyDescent="0.3">
      <c r="A251" s="20"/>
      <c r="B251" s="36"/>
      <c r="C251" s="36"/>
      <c r="D251" s="36"/>
      <c r="E251" s="36"/>
      <c r="F251" s="36"/>
      <c r="G251" s="36"/>
    </row>
    <row r="252" spans="1:7" ht="14.4" x14ac:dyDescent="0.3">
      <c r="A252" s="20"/>
      <c r="B252" s="36"/>
      <c r="C252" s="36"/>
      <c r="D252" s="36"/>
      <c r="E252" s="36"/>
      <c r="F252" s="36"/>
      <c r="G252" s="36"/>
    </row>
    <row r="253" spans="1:7" ht="14.4" x14ac:dyDescent="0.3">
      <c r="A253" s="20"/>
      <c r="B253" s="36"/>
      <c r="C253" s="36"/>
      <c r="D253" s="36"/>
      <c r="E253" s="36"/>
      <c r="F253" s="36"/>
      <c r="G253" s="36"/>
    </row>
    <row r="254" spans="1:7" ht="14.4" x14ac:dyDescent="0.3">
      <c r="A254" s="20"/>
      <c r="B254" s="36"/>
      <c r="C254" s="36"/>
      <c r="D254" s="36"/>
      <c r="E254" s="36"/>
      <c r="F254" s="36"/>
      <c r="G254" s="36"/>
    </row>
    <row r="255" spans="1:7" ht="14.4" x14ac:dyDescent="0.3">
      <c r="A255" s="20"/>
      <c r="B255" s="36"/>
      <c r="C255" s="36"/>
      <c r="D255" s="36"/>
      <c r="E255" s="36"/>
      <c r="F255" s="36"/>
      <c r="G255" s="36"/>
    </row>
    <row r="256" spans="1:7" ht="14.4" x14ac:dyDescent="0.3">
      <c r="A256" s="20"/>
      <c r="B256" s="36"/>
      <c r="C256" s="36"/>
      <c r="D256" s="36"/>
      <c r="E256" s="36"/>
      <c r="F256" s="36"/>
      <c r="G256" s="36"/>
    </row>
    <row r="257" spans="1:7" ht="14.4" x14ac:dyDescent="0.3">
      <c r="A257" s="20"/>
      <c r="B257" s="36"/>
      <c r="C257" s="36"/>
      <c r="D257" s="36"/>
      <c r="E257" s="36"/>
      <c r="F257" s="36"/>
      <c r="G257" s="36"/>
    </row>
    <row r="258" spans="1:7" ht="14.4" x14ac:dyDescent="0.3">
      <c r="A258" s="20"/>
      <c r="B258" s="36"/>
      <c r="C258" s="36"/>
      <c r="D258" s="36"/>
      <c r="E258" s="36"/>
      <c r="F258" s="36"/>
      <c r="G258" s="36"/>
    </row>
    <row r="259" spans="1:7" ht="14.4" x14ac:dyDescent="0.3">
      <c r="A259" s="20"/>
      <c r="B259" s="36"/>
      <c r="C259" s="36"/>
      <c r="D259" s="36"/>
      <c r="E259" s="36"/>
      <c r="F259" s="36"/>
      <c r="G259" s="36"/>
    </row>
    <row r="260" spans="1:7" ht="14.4" x14ac:dyDescent="0.3">
      <c r="A260" s="20"/>
      <c r="B260" s="36"/>
      <c r="C260" s="36"/>
      <c r="D260" s="36"/>
      <c r="E260" s="36"/>
      <c r="F260" s="36"/>
      <c r="G260" s="36"/>
    </row>
    <row r="261" spans="1:7" ht="14.4" x14ac:dyDescent="0.3">
      <c r="A261" s="20"/>
      <c r="B261" s="36"/>
      <c r="C261" s="36"/>
      <c r="D261" s="36"/>
      <c r="E261" s="36"/>
      <c r="F261" s="36"/>
      <c r="G261" s="36"/>
    </row>
    <row r="262" spans="1:7" ht="14.4" x14ac:dyDescent="0.3">
      <c r="A262" s="20"/>
      <c r="B262" s="36"/>
      <c r="C262" s="36"/>
      <c r="D262" s="36"/>
      <c r="E262" s="36"/>
      <c r="F262" s="36"/>
      <c r="G262" s="36"/>
    </row>
    <row r="263" spans="1:7" ht="14.4" x14ac:dyDescent="0.3">
      <c r="A263" s="20"/>
      <c r="B263" s="36"/>
      <c r="C263" s="36"/>
      <c r="D263" s="36"/>
      <c r="E263" s="36"/>
      <c r="F263" s="36"/>
      <c r="G263" s="36"/>
    </row>
    <row r="264" spans="1:7" ht="14.4" x14ac:dyDescent="0.3">
      <c r="A264" s="20"/>
      <c r="B264" s="36"/>
      <c r="C264" s="36"/>
      <c r="D264" s="36"/>
      <c r="E264" s="36"/>
      <c r="F264" s="36"/>
      <c r="G264" s="36"/>
    </row>
    <row r="265" spans="1:7" ht="14.4" x14ac:dyDescent="0.3">
      <c r="A265" s="20"/>
      <c r="B265" s="36"/>
      <c r="C265" s="36"/>
      <c r="D265" s="36"/>
      <c r="E265" s="36"/>
      <c r="F265" s="36"/>
      <c r="G265" s="36"/>
    </row>
    <row r="266" spans="1:7" ht="14.4" x14ac:dyDescent="0.3">
      <c r="A266" s="20"/>
      <c r="B266" s="36"/>
      <c r="C266" s="36"/>
      <c r="D266" s="36"/>
      <c r="E266" s="36"/>
      <c r="F266" s="36"/>
      <c r="G266" s="36"/>
    </row>
    <row r="267" spans="1:7" ht="14.4" x14ac:dyDescent="0.3">
      <c r="A267" s="20"/>
      <c r="B267" s="36"/>
      <c r="C267" s="36"/>
      <c r="D267" s="36"/>
      <c r="E267" s="36"/>
      <c r="F267" s="36"/>
      <c r="G267" s="36"/>
    </row>
    <row r="268" spans="1:7" ht="14.4" x14ac:dyDescent="0.3">
      <c r="A268" s="20"/>
      <c r="B268" s="36"/>
      <c r="C268" s="36"/>
      <c r="D268" s="36"/>
      <c r="E268" s="36"/>
      <c r="F268" s="36"/>
      <c r="G268" s="36"/>
    </row>
    <row r="269" spans="1:7" ht="14.4" x14ac:dyDescent="0.3">
      <c r="A269" s="20"/>
      <c r="B269" s="36"/>
      <c r="C269" s="36"/>
      <c r="D269" s="36"/>
      <c r="E269" s="36"/>
      <c r="F269" s="36"/>
      <c r="G269" s="36"/>
    </row>
    <row r="270" spans="1:7" ht="14.4" x14ac:dyDescent="0.3">
      <c r="A270" s="20"/>
      <c r="B270" s="36"/>
      <c r="C270" s="36"/>
      <c r="D270" s="36"/>
      <c r="E270" s="36"/>
      <c r="F270" s="36"/>
      <c r="G270" s="36"/>
    </row>
    <row r="271" spans="1:7" ht="14.4" x14ac:dyDescent="0.3">
      <c r="A271" s="20"/>
      <c r="B271" s="36"/>
      <c r="C271" s="36"/>
      <c r="D271" s="36"/>
      <c r="E271" s="36"/>
      <c r="F271" s="36"/>
      <c r="G271" s="36"/>
    </row>
    <row r="272" spans="1:7" ht="14.4" x14ac:dyDescent="0.3">
      <c r="A272" s="20"/>
      <c r="B272" s="36"/>
      <c r="C272" s="36"/>
      <c r="D272" s="36"/>
      <c r="E272" s="36"/>
      <c r="F272" s="36"/>
      <c r="G272" s="36"/>
    </row>
    <row r="273" spans="1:7" ht="14.4" x14ac:dyDescent="0.3">
      <c r="A273" s="20"/>
      <c r="B273" s="36"/>
      <c r="C273" s="36"/>
      <c r="D273" s="36"/>
      <c r="E273" s="36"/>
      <c r="F273" s="36"/>
      <c r="G273" s="36"/>
    </row>
    <row r="274" spans="1:7" ht="14.4" x14ac:dyDescent="0.3">
      <c r="A274" s="20"/>
      <c r="B274" s="36"/>
      <c r="C274" s="36"/>
      <c r="D274" s="36"/>
      <c r="E274" s="36"/>
      <c r="F274" s="36"/>
      <c r="G274" s="36"/>
    </row>
    <row r="275" spans="1:7" ht="14.4" x14ac:dyDescent="0.3">
      <c r="A275" s="20"/>
      <c r="B275" s="36"/>
      <c r="C275" s="36"/>
      <c r="D275" s="36"/>
      <c r="E275" s="36"/>
      <c r="F275" s="36"/>
      <c r="G275" s="36"/>
    </row>
    <row r="276" spans="1:7" ht="14.4" x14ac:dyDescent="0.3">
      <c r="A276" s="20"/>
      <c r="B276" s="36"/>
      <c r="C276" s="36"/>
      <c r="D276" s="36"/>
      <c r="E276" s="36"/>
      <c r="F276" s="36"/>
      <c r="G276" s="36"/>
    </row>
    <row r="277" spans="1:7" ht="14.4" x14ac:dyDescent="0.3">
      <c r="A277" s="20"/>
      <c r="B277" s="36"/>
      <c r="C277" s="36"/>
      <c r="D277" s="36"/>
      <c r="E277" s="36"/>
      <c r="F277" s="36"/>
      <c r="G277" s="36"/>
    </row>
    <row r="278" spans="1:7" ht="14.4" x14ac:dyDescent="0.3">
      <c r="A278" s="20"/>
      <c r="B278" s="36"/>
      <c r="C278" s="36"/>
      <c r="D278" s="36"/>
      <c r="E278" s="36"/>
      <c r="F278" s="36"/>
      <c r="G278" s="36"/>
    </row>
    <row r="279" spans="1:7" ht="14.4" x14ac:dyDescent="0.3">
      <c r="A279" s="20"/>
      <c r="B279" s="36"/>
      <c r="C279" s="36"/>
      <c r="D279" s="36"/>
      <c r="E279" s="36"/>
      <c r="F279" s="36"/>
      <c r="G279" s="36"/>
    </row>
    <row r="280" spans="1:7" ht="14.4" x14ac:dyDescent="0.3">
      <c r="A280" s="20"/>
      <c r="B280" s="36"/>
      <c r="C280" s="36"/>
      <c r="D280" s="36"/>
      <c r="E280" s="36"/>
      <c r="F280" s="36"/>
      <c r="G280" s="36"/>
    </row>
    <row r="281" spans="1:7" ht="14.4" x14ac:dyDescent="0.3">
      <c r="A281" s="20"/>
      <c r="B281" s="36"/>
      <c r="C281" s="36"/>
      <c r="D281" s="36"/>
      <c r="E281" s="36"/>
      <c r="F281" s="36"/>
      <c r="G281" s="36"/>
    </row>
    <row r="282" spans="1:7" ht="14.4" x14ac:dyDescent="0.3">
      <c r="A282" s="20"/>
      <c r="B282" s="36"/>
      <c r="C282" s="36"/>
      <c r="D282" s="36"/>
      <c r="E282" s="36"/>
      <c r="F282" s="36"/>
      <c r="G282" s="36"/>
    </row>
    <row r="283" spans="1:7" ht="14.4" x14ac:dyDescent="0.3">
      <c r="A283" s="20"/>
      <c r="B283" s="36"/>
      <c r="C283" s="36"/>
      <c r="D283" s="36"/>
      <c r="E283" s="36"/>
      <c r="F283" s="36"/>
      <c r="G283" s="36"/>
    </row>
    <row r="284" spans="1:7" ht="14.4" x14ac:dyDescent="0.3">
      <c r="A284" s="20"/>
      <c r="B284" s="36"/>
      <c r="C284" s="36"/>
      <c r="D284" s="36"/>
      <c r="E284" s="36"/>
      <c r="F284" s="36"/>
      <c r="G284" s="36"/>
    </row>
    <row r="285" spans="1:7" ht="14.4" x14ac:dyDescent="0.3">
      <c r="A285" s="20"/>
      <c r="B285" s="36"/>
      <c r="C285" s="36"/>
      <c r="D285" s="36"/>
      <c r="E285" s="36"/>
      <c r="F285" s="36"/>
      <c r="G285" s="36"/>
    </row>
    <row r="286" spans="1:7" ht="14.4" x14ac:dyDescent="0.3">
      <c r="A286" s="20"/>
      <c r="B286" s="36"/>
      <c r="C286" s="36"/>
      <c r="D286" s="36"/>
      <c r="E286" s="36"/>
      <c r="F286" s="36"/>
      <c r="G286" s="36"/>
    </row>
    <row r="287" spans="1:7" ht="14.4" x14ac:dyDescent="0.3">
      <c r="A287" s="20"/>
      <c r="B287" s="36"/>
      <c r="C287" s="36"/>
      <c r="D287" s="36"/>
      <c r="E287" s="36"/>
      <c r="F287" s="36"/>
      <c r="G287" s="36"/>
    </row>
    <row r="288" spans="1:7" ht="14.4" x14ac:dyDescent="0.3">
      <c r="A288" s="20"/>
      <c r="B288" s="36"/>
      <c r="C288" s="36"/>
      <c r="D288" s="36"/>
      <c r="E288" s="36"/>
      <c r="F288" s="36"/>
      <c r="G288" s="36"/>
    </row>
    <row r="289" spans="1:7" ht="14.4" x14ac:dyDescent="0.3">
      <c r="A289" s="20"/>
      <c r="B289" s="36"/>
      <c r="C289" s="36"/>
      <c r="D289" s="36"/>
      <c r="E289" s="36"/>
      <c r="F289" s="36"/>
      <c r="G289" s="36"/>
    </row>
    <row r="290" spans="1:7" ht="14.4" x14ac:dyDescent="0.3">
      <c r="A290" s="20"/>
      <c r="B290" s="36"/>
      <c r="C290" s="36"/>
      <c r="D290" s="36"/>
      <c r="E290" s="36"/>
      <c r="F290" s="36"/>
      <c r="G290" s="36"/>
    </row>
    <row r="291" spans="1:7" ht="14.4" x14ac:dyDescent="0.3">
      <c r="A291" s="20"/>
      <c r="B291" s="36"/>
      <c r="C291" s="36"/>
      <c r="D291" s="36"/>
      <c r="E291" s="36"/>
      <c r="F291" s="36"/>
      <c r="G291" s="36"/>
    </row>
    <row r="292" spans="1:7" ht="14.4" x14ac:dyDescent="0.3">
      <c r="A292" s="20"/>
      <c r="B292" s="36"/>
      <c r="C292" s="36"/>
      <c r="D292" s="36"/>
      <c r="E292" s="36"/>
      <c r="F292" s="36"/>
      <c r="G292" s="36"/>
    </row>
    <row r="293" spans="1:7" ht="14.4" x14ac:dyDescent="0.3">
      <c r="A293" s="20"/>
      <c r="B293" s="36"/>
      <c r="C293" s="36"/>
      <c r="D293" s="36"/>
      <c r="E293" s="36"/>
      <c r="F293" s="36"/>
      <c r="G293" s="36"/>
    </row>
    <row r="294" spans="1:7" ht="14.4" x14ac:dyDescent="0.3">
      <c r="A294" s="20"/>
      <c r="B294" s="36"/>
      <c r="C294" s="36"/>
      <c r="D294" s="36"/>
      <c r="E294" s="36"/>
      <c r="F294" s="36"/>
      <c r="G294" s="36"/>
    </row>
    <row r="295" spans="1:7" ht="14.4" x14ac:dyDescent="0.3">
      <c r="A295" s="20"/>
      <c r="B295" s="36"/>
      <c r="C295" s="36"/>
      <c r="D295" s="36"/>
      <c r="E295" s="36"/>
      <c r="F295" s="36"/>
      <c r="G295" s="36"/>
    </row>
    <row r="296" spans="1:7" ht="14.4" x14ac:dyDescent="0.3">
      <c r="A296" s="20"/>
      <c r="B296" s="36"/>
      <c r="C296" s="36"/>
      <c r="D296" s="36"/>
      <c r="E296" s="36"/>
      <c r="F296" s="36"/>
      <c r="G296" s="36"/>
    </row>
    <row r="297" spans="1:7" ht="14.4" x14ac:dyDescent="0.3">
      <c r="A297" s="20"/>
      <c r="B297" s="36"/>
      <c r="C297" s="36"/>
      <c r="D297" s="36"/>
      <c r="E297" s="36"/>
      <c r="F297" s="36"/>
      <c r="G297" s="36"/>
    </row>
    <row r="298" spans="1:7" ht="14.4" x14ac:dyDescent="0.3">
      <c r="A298" s="20"/>
      <c r="B298" s="36"/>
      <c r="C298" s="36"/>
      <c r="D298" s="36"/>
      <c r="E298" s="36"/>
      <c r="F298" s="36"/>
      <c r="G298" s="36"/>
    </row>
    <row r="299" spans="1:7" ht="14.4" x14ac:dyDescent="0.3">
      <c r="A299" s="20"/>
      <c r="B299" s="36"/>
      <c r="C299" s="36"/>
      <c r="D299" s="36"/>
      <c r="E299" s="36"/>
      <c r="F299" s="36"/>
      <c r="G299" s="36"/>
    </row>
    <row r="300" spans="1:7" ht="14.4" x14ac:dyDescent="0.3">
      <c r="A300" s="20"/>
      <c r="B300" s="36"/>
      <c r="C300" s="36"/>
      <c r="D300" s="36"/>
      <c r="E300" s="36"/>
      <c r="F300" s="36"/>
      <c r="G300" s="36"/>
    </row>
    <row r="301" spans="1:7" ht="14.4" x14ac:dyDescent="0.3">
      <c r="A301" s="20"/>
      <c r="B301" s="36"/>
      <c r="C301" s="36"/>
      <c r="D301" s="36"/>
      <c r="E301" s="36"/>
      <c r="F301" s="36"/>
      <c r="G301" s="36"/>
    </row>
    <row r="302" spans="1:7" ht="14.4" x14ac:dyDescent="0.3">
      <c r="A302" s="20"/>
      <c r="B302" s="36"/>
      <c r="C302" s="36"/>
      <c r="D302" s="36"/>
      <c r="E302" s="36"/>
      <c r="F302" s="36"/>
      <c r="G302" s="36"/>
    </row>
    <row r="303" spans="1:7" ht="14.4" x14ac:dyDescent="0.3">
      <c r="A303" s="20"/>
      <c r="B303" s="36"/>
      <c r="C303" s="36"/>
      <c r="D303" s="36"/>
      <c r="E303" s="36"/>
      <c r="F303" s="36"/>
      <c r="G303" s="36"/>
    </row>
    <row r="304" spans="1:7" ht="14.4" x14ac:dyDescent="0.3">
      <c r="A304" s="20"/>
      <c r="B304" s="36"/>
      <c r="C304" s="36"/>
      <c r="D304" s="36"/>
      <c r="E304" s="36"/>
      <c r="F304" s="36"/>
      <c r="G304" s="36"/>
    </row>
    <row r="305" spans="1:7" ht="14.4" x14ac:dyDescent="0.3">
      <c r="A305" s="20"/>
      <c r="B305" s="36"/>
      <c r="C305" s="36"/>
      <c r="D305" s="36"/>
      <c r="E305" s="36"/>
      <c r="F305" s="36"/>
      <c r="G305" s="36"/>
    </row>
    <row r="306" spans="1:7" ht="14.4" x14ac:dyDescent="0.3">
      <c r="A306" s="20"/>
      <c r="B306" s="36"/>
      <c r="C306" s="36"/>
      <c r="D306" s="36"/>
      <c r="E306" s="36"/>
      <c r="F306" s="36"/>
      <c r="G306" s="36"/>
    </row>
    <row r="307" spans="1:7" ht="14.4" x14ac:dyDescent="0.3">
      <c r="A307" s="20"/>
      <c r="B307" s="36"/>
      <c r="C307" s="36"/>
      <c r="D307" s="36"/>
      <c r="E307" s="36"/>
      <c r="F307" s="36"/>
      <c r="G307" s="36"/>
    </row>
    <row r="308" spans="1:7" ht="14.4" x14ac:dyDescent="0.3">
      <c r="A308" s="20"/>
      <c r="B308" s="36"/>
      <c r="C308" s="36"/>
      <c r="D308" s="36"/>
      <c r="E308" s="36"/>
      <c r="F308" s="36"/>
      <c r="G308" s="36"/>
    </row>
    <row r="309" spans="1:7" ht="14.4" x14ac:dyDescent="0.3">
      <c r="A309" s="20"/>
      <c r="B309" s="36"/>
      <c r="C309" s="36"/>
      <c r="D309" s="36"/>
      <c r="E309" s="36"/>
      <c r="F309" s="36"/>
      <c r="G309" s="36"/>
    </row>
    <row r="310" spans="1:7" ht="14.4" x14ac:dyDescent="0.3">
      <c r="A310" s="20"/>
      <c r="B310" s="36"/>
      <c r="C310" s="36"/>
      <c r="D310" s="36"/>
      <c r="E310" s="36"/>
      <c r="F310" s="36"/>
      <c r="G310" s="36"/>
    </row>
    <row r="311" spans="1:7" ht="14.4" x14ac:dyDescent="0.3">
      <c r="A311" s="20"/>
      <c r="B311" s="36"/>
      <c r="C311" s="36"/>
      <c r="D311" s="36"/>
      <c r="E311" s="36"/>
      <c r="F311" s="36"/>
      <c r="G311" s="36"/>
    </row>
    <row r="312" spans="1:7" ht="14.4" x14ac:dyDescent="0.3">
      <c r="A312" s="20"/>
      <c r="B312" s="36"/>
      <c r="C312" s="36"/>
      <c r="D312" s="36"/>
      <c r="E312" s="36"/>
      <c r="F312" s="36"/>
      <c r="G312" s="36"/>
    </row>
    <row r="313" spans="1:7" ht="14.4" x14ac:dyDescent="0.3">
      <c r="A313" s="20"/>
      <c r="B313" s="36"/>
      <c r="C313" s="36"/>
      <c r="D313" s="36"/>
      <c r="E313" s="36"/>
      <c r="F313" s="36"/>
      <c r="G313" s="36"/>
    </row>
    <row r="314" spans="1:7" ht="14.4" x14ac:dyDescent="0.3">
      <c r="A314" s="20"/>
      <c r="B314" s="36"/>
      <c r="C314" s="36"/>
      <c r="D314" s="36"/>
      <c r="E314" s="36"/>
      <c r="F314" s="36"/>
      <c r="G314" s="36"/>
    </row>
    <row r="315" spans="1:7" ht="14.4" x14ac:dyDescent="0.3">
      <c r="A315" s="20"/>
      <c r="B315" s="36"/>
      <c r="C315" s="36"/>
      <c r="D315" s="36"/>
      <c r="E315" s="36"/>
      <c r="F315" s="36"/>
      <c r="G315" s="36"/>
    </row>
    <row r="316" spans="1:7" ht="14.4" x14ac:dyDescent="0.3">
      <c r="A316" s="20"/>
      <c r="B316" s="36"/>
      <c r="C316" s="36"/>
      <c r="D316" s="36"/>
      <c r="E316" s="36"/>
      <c r="F316" s="36"/>
      <c r="G316" s="36"/>
    </row>
    <row r="317" spans="1:7" ht="14.4" x14ac:dyDescent="0.3">
      <c r="A317" s="20"/>
      <c r="B317" s="36"/>
      <c r="C317" s="36"/>
      <c r="D317" s="36"/>
      <c r="E317" s="36"/>
      <c r="F317" s="36"/>
      <c r="G317" s="36"/>
    </row>
    <row r="318" spans="1:7" ht="14.4" x14ac:dyDescent="0.3">
      <c r="A318" s="20"/>
      <c r="B318" s="36"/>
      <c r="C318" s="36"/>
      <c r="D318" s="36"/>
      <c r="E318" s="36"/>
      <c r="F318" s="36"/>
      <c r="G318" s="36"/>
    </row>
    <row r="319" spans="1:7" ht="14.4" x14ac:dyDescent="0.3">
      <c r="A319" s="20"/>
      <c r="B319" s="36"/>
      <c r="C319" s="36"/>
      <c r="D319" s="36"/>
      <c r="E319" s="36"/>
      <c r="F319" s="36"/>
      <c r="G319" s="36"/>
    </row>
    <row r="320" spans="1:7" ht="14.4" x14ac:dyDescent="0.3">
      <c r="A320" s="20"/>
      <c r="B320" s="36"/>
      <c r="C320" s="36"/>
      <c r="D320" s="36"/>
      <c r="E320" s="36"/>
      <c r="F320" s="36"/>
      <c r="G320" s="36"/>
    </row>
    <row r="321" spans="1:7" ht="14.4" x14ac:dyDescent="0.3">
      <c r="A321" s="20"/>
      <c r="B321" s="36"/>
      <c r="C321" s="36"/>
      <c r="D321" s="36"/>
      <c r="E321" s="36"/>
      <c r="F321" s="36"/>
      <c r="G321" s="36"/>
    </row>
    <row r="322" spans="1:7" ht="14.4" x14ac:dyDescent="0.3">
      <c r="A322" s="20"/>
      <c r="B322" s="36"/>
      <c r="C322" s="36"/>
      <c r="D322" s="36"/>
      <c r="E322" s="36"/>
      <c r="F322" s="36"/>
      <c r="G322" s="36"/>
    </row>
    <row r="323" spans="1:7" ht="14.4" x14ac:dyDescent="0.3">
      <c r="A323" s="20"/>
      <c r="B323" s="36"/>
      <c r="C323" s="36"/>
      <c r="D323" s="36"/>
      <c r="E323" s="36"/>
      <c r="F323" s="36"/>
      <c r="G323" s="36"/>
    </row>
    <row r="324" spans="1:7" ht="14.4" x14ac:dyDescent="0.3">
      <c r="A324" s="20"/>
      <c r="B324" s="36"/>
      <c r="C324" s="36"/>
      <c r="D324" s="36"/>
      <c r="E324" s="36"/>
      <c r="F324" s="36"/>
      <c r="G324" s="36"/>
    </row>
    <row r="325" spans="1:7" ht="14.4" x14ac:dyDescent="0.3">
      <c r="A325" s="20"/>
      <c r="B325" s="36"/>
      <c r="C325" s="36"/>
      <c r="D325" s="36"/>
      <c r="E325" s="36"/>
      <c r="F325" s="36"/>
      <c r="G325" s="36"/>
    </row>
    <row r="326" spans="1:7" ht="14.4" x14ac:dyDescent="0.3">
      <c r="A326" s="20"/>
      <c r="B326" s="36"/>
      <c r="C326" s="36"/>
      <c r="D326" s="36"/>
      <c r="E326" s="36"/>
      <c r="F326" s="36"/>
      <c r="G326" s="36"/>
    </row>
    <row r="327" spans="1:7" ht="14.4" x14ac:dyDescent="0.3">
      <c r="A327" s="20"/>
      <c r="B327" s="36"/>
      <c r="C327" s="36"/>
      <c r="D327" s="36"/>
      <c r="E327" s="36"/>
      <c r="F327" s="36"/>
      <c r="G327" s="36"/>
    </row>
    <row r="328" spans="1:7" ht="14.4" x14ac:dyDescent="0.3">
      <c r="A328" s="20"/>
      <c r="B328" s="36"/>
      <c r="C328" s="36"/>
      <c r="D328" s="36"/>
      <c r="E328" s="36"/>
      <c r="F328" s="36"/>
      <c r="G328" s="36"/>
    </row>
    <row r="329" spans="1:7" ht="14.4" x14ac:dyDescent="0.3">
      <c r="A329" s="20"/>
      <c r="B329" s="36"/>
      <c r="C329" s="36"/>
      <c r="D329" s="36"/>
      <c r="E329" s="36"/>
      <c r="F329" s="36"/>
      <c r="G329" s="36"/>
    </row>
    <row r="330" spans="1:7" ht="14.4" x14ac:dyDescent="0.3">
      <c r="A330" s="20"/>
      <c r="B330" s="36"/>
      <c r="C330" s="36"/>
      <c r="D330" s="36"/>
      <c r="E330" s="36"/>
      <c r="F330" s="36"/>
      <c r="G330" s="36"/>
    </row>
    <row r="331" spans="1:7" ht="14.4" x14ac:dyDescent="0.3">
      <c r="A331" s="20"/>
      <c r="B331" s="36"/>
      <c r="C331" s="36"/>
      <c r="D331" s="36"/>
      <c r="E331" s="36"/>
      <c r="F331" s="36"/>
      <c r="G331" s="36"/>
    </row>
    <row r="332" spans="1:7" ht="14.4" x14ac:dyDescent="0.3">
      <c r="A332" s="20"/>
      <c r="B332" s="36"/>
      <c r="C332" s="36"/>
      <c r="D332" s="36"/>
      <c r="E332" s="36"/>
      <c r="F332" s="36"/>
      <c r="G332" s="36"/>
    </row>
    <row r="333" spans="1:7" ht="14.4" x14ac:dyDescent="0.3">
      <c r="A333" s="20"/>
      <c r="B333" s="36"/>
      <c r="C333" s="36"/>
      <c r="D333" s="36"/>
      <c r="E333" s="36"/>
      <c r="F333" s="36"/>
      <c r="G333" s="36"/>
    </row>
    <row r="334" spans="1:7" ht="14.4" x14ac:dyDescent="0.3">
      <c r="A334" s="20"/>
      <c r="B334" s="36"/>
      <c r="C334" s="36"/>
      <c r="D334" s="36"/>
      <c r="E334" s="36"/>
      <c r="F334" s="36"/>
      <c r="G334" s="36"/>
    </row>
    <row r="335" spans="1:7" ht="14.4" x14ac:dyDescent="0.3">
      <c r="A335" s="20"/>
      <c r="B335" s="36"/>
      <c r="C335" s="36"/>
      <c r="D335" s="36"/>
      <c r="E335" s="36"/>
      <c r="F335" s="36"/>
      <c r="G335" s="36"/>
    </row>
    <row r="336" spans="1:7" ht="14.4" x14ac:dyDescent="0.3">
      <c r="A336" s="20"/>
      <c r="B336" s="36"/>
      <c r="C336" s="36"/>
      <c r="D336" s="36"/>
      <c r="E336" s="36"/>
      <c r="F336" s="36"/>
      <c r="G336" s="36"/>
    </row>
    <row r="337" spans="1:7" ht="14.4" x14ac:dyDescent="0.3">
      <c r="A337" s="20"/>
      <c r="B337" s="36"/>
      <c r="C337" s="36"/>
      <c r="D337" s="36"/>
      <c r="E337" s="36"/>
      <c r="F337" s="36"/>
      <c r="G337" s="36"/>
    </row>
    <row r="338" spans="1:7" ht="14.4" x14ac:dyDescent="0.3">
      <c r="A338" s="20"/>
      <c r="B338" s="36"/>
      <c r="C338" s="36"/>
      <c r="D338" s="36"/>
      <c r="E338" s="36"/>
      <c r="F338" s="36"/>
      <c r="G338" s="36"/>
    </row>
    <row r="339" spans="1:7" ht="14.4" x14ac:dyDescent="0.3">
      <c r="A339" s="20"/>
      <c r="B339" s="36"/>
      <c r="C339" s="36"/>
      <c r="D339" s="36"/>
      <c r="E339" s="36"/>
      <c r="F339" s="36"/>
      <c r="G339" s="36"/>
    </row>
    <row r="340" spans="1:7" ht="14.4" x14ac:dyDescent="0.3">
      <c r="A340" s="20"/>
      <c r="B340" s="36"/>
      <c r="C340" s="36"/>
      <c r="D340" s="36"/>
      <c r="E340" s="36"/>
      <c r="F340" s="36"/>
      <c r="G340" s="36"/>
    </row>
    <row r="341" spans="1:7" ht="14.4" x14ac:dyDescent="0.3">
      <c r="A341" s="20"/>
      <c r="B341" s="36"/>
      <c r="C341" s="36"/>
      <c r="D341" s="36"/>
      <c r="E341" s="36"/>
      <c r="F341" s="36"/>
      <c r="G341" s="36"/>
    </row>
    <row r="342" spans="1:7" ht="14.4" x14ac:dyDescent="0.3">
      <c r="A342" s="20"/>
      <c r="B342" s="36"/>
      <c r="C342" s="36"/>
      <c r="D342" s="36"/>
      <c r="E342" s="36"/>
      <c r="F342" s="36"/>
      <c r="G342" s="36"/>
    </row>
    <row r="343" spans="1:7" ht="14.4" x14ac:dyDescent="0.3">
      <c r="A343" s="20"/>
      <c r="B343" s="36"/>
      <c r="C343" s="36"/>
      <c r="D343" s="36"/>
      <c r="E343" s="36"/>
      <c r="F343" s="36"/>
      <c r="G343" s="36"/>
    </row>
    <row r="344" spans="1:7" ht="14.4" x14ac:dyDescent="0.3">
      <c r="A344" s="20"/>
      <c r="B344" s="36"/>
      <c r="C344" s="36"/>
      <c r="D344" s="36"/>
      <c r="E344" s="36"/>
      <c r="F344" s="36"/>
      <c r="G344" s="36"/>
    </row>
    <row r="345" spans="1:7" ht="14.4" x14ac:dyDescent="0.3">
      <c r="A345" s="20"/>
      <c r="B345" s="36"/>
      <c r="C345" s="36"/>
      <c r="D345" s="36"/>
      <c r="E345" s="36"/>
      <c r="F345" s="36"/>
      <c r="G345" s="36"/>
    </row>
    <row r="346" spans="1:7" ht="14.4" x14ac:dyDescent="0.3">
      <c r="A346" s="20"/>
      <c r="B346" s="36"/>
      <c r="C346" s="36"/>
      <c r="D346" s="36"/>
      <c r="E346" s="36"/>
      <c r="F346" s="36"/>
      <c r="G346" s="36"/>
    </row>
    <row r="347" spans="1:7" ht="14.4" x14ac:dyDescent="0.3">
      <c r="A347" s="20"/>
      <c r="B347" s="36"/>
      <c r="C347" s="36"/>
      <c r="D347" s="36"/>
      <c r="E347" s="36"/>
      <c r="F347" s="36"/>
      <c r="G347" s="36"/>
    </row>
    <row r="348" spans="1:7" ht="14.4" x14ac:dyDescent="0.3">
      <c r="A348" s="20"/>
      <c r="B348" s="36"/>
      <c r="C348" s="36"/>
      <c r="D348" s="36"/>
      <c r="E348" s="36"/>
      <c r="F348" s="36"/>
      <c r="G348" s="36"/>
    </row>
    <row r="349" spans="1:7" ht="14.4" x14ac:dyDescent="0.3">
      <c r="A349" s="20"/>
      <c r="B349" s="36"/>
      <c r="C349" s="36"/>
      <c r="D349" s="36"/>
      <c r="E349" s="36"/>
      <c r="F349" s="36"/>
      <c r="G349" s="36"/>
    </row>
    <row r="350" spans="1:7" ht="14.4" x14ac:dyDescent="0.3">
      <c r="A350" s="20"/>
      <c r="B350" s="36"/>
      <c r="C350" s="36"/>
      <c r="D350" s="36"/>
      <c r="E350" s="36"/>
      <c r="F350" s="36"/>
      <c r="G350" s="36"/>
    </row>
    <row r="351" spans="1:7" ht="14.4" x14ac:dyDescent="0.3">
      <c r="A351" s="20"/>
      <c r="B351" s="36"/>
      <c r="C351" s="36"/>
      <c r="D351" s="36"/>
      <c r="E351" s="36"/>
      <c r="F351" s="36"/>
      <c r="G351" s="36"/>
    </row>
    <row r="352" spans="1:7" ht="14.4" x14ac:dyDescent="0.3">
      <c r="A352" s="20"/>
      <c r="B352" s="36"/>
      <c r="C352" s="36"/>
      <c r="D352" s="36"/>
      <c r="E352" s="36"/>
      <c r="F352" s="36"/>
      <c r="G352" s="36"/>
    </row>
    <row r="353" spans="1:7" ht="14.4" x14ac:dyDescent="0.3">
      <c r="A353" s="20"/>
      <c r="B353" s="36"/>
      <c r="C353" s="36"/>
      <c r="D353" s="36"/>
      <c r="E353" s="36"/>
      <c r="F353" s="36"/>
      <c r="G353" s="36"/>
    </row>
    <row r="354" spans="1:7" ht="14.4" x14ac:dyDescent="0.3">
      <c r="A354" s="20"/>
      <c r="B354" s="36"/>
      <c r="C354" s="36"/>
      <c r="D354" s="36"/>
      <c r="E354" s="36"/>
      <c r="F354" s="36"/>
      <c r="G354" s="36"/>
    </row>
    <row r="355" spans="1:7" ht="14.4" x14ac:dyDescent="0.3">
      <c r="A355" s="20"/>
      <c r="B355" s="36"/>
      <c r="C355" s="36"/>
      <c r="D355" s="36"/>
      <c r="E355" s="36"/>
      <c r="F355" s="36"/>
      <c r="G355" s="36"/>
    </row>
    <row r="356" spans="1:7" ht="14.4" x14ac:dyDescent="0.3">
      <c r="A356" s="20"/>
      <c r="B356" s="36"/>
      <c r="C356" s="36"/>
      <c r="D356" s="36"/>
      <c r="E356" s="36"/>
      <c r="F356" s="36"/>
      <c r="G356" s="36"/>
    </row>
    <row r="357" spans="1:7" ht="14.4" x14ac:dyDescent="0.3">
      <c r="A357" s="20"/>
      <c r="B357" s="36"/>
      <c r="C357" s="36"/>
      <c r="D357" s="36"/>
      <c r="E357" s="36"/>
      <c r="F357" s="36"/>
      <c r="G357" s="36"/>
    </row>
    <row r="358" spans="1:7" ht="14.4" x14ac:dyDescent="0.3">
      <c r="A358" s="20"/>
      <c r="B358" s="36"/>
      <c r="C358" s="36"/>
      <c r="D358" s="36"/>
      <c r="E358" s="36"/>
      <c r="F358" s="36"/>
      <c r="G358" s="36"/>
    </row>
    <row r="359" spans="1:7" ht="14.4" x14ac:dyDescent="0.3">
      <c r="A359" s="20"/>
      <c r="B359" s="36"/>
      <c r="C359" s="36"/>
      <c r="D359" s="36"/>
      <c r="E359" s="36"/>
      <c r="F359" s="36"/>
      <c r="G359" s="36"/>
    </row>
    <row r="360" spans="1:7" ht="14.4" x14ac:dyDescent="0.3">
      <c r="A360" s="20"/>
      <c r="B360" s="36"/>
      <c r="C360" s="36"/>
      <c r="D360" s="36"/>
      <c r="E360" s="36"/>
      <c r="F360" s="36"/>
      <c r="G360" s="36"/>
    </row>
    <row r="361" spans="1:7" ht="14.4" x14ac:dyDescent="0.3">
      <c r="A361" s="20"/>
      <c r="B361" s="36"/>
      <c r="C361" s="36"/>
      <c r="D361" s="36"/>
      <c r="E361" s="36"/>
      <c r="F361" s="36"/>
      <c r="G361" s="36"/>
    </row>
    <row r="362" spans="1:7" ht="14.4" x14ac:dyDescent="0.3">
      <c r="A362" s="20"/>
      <c r="B362" s="36"/>
      <c r="C362" s="36"/>
      <c r="D362" s="36"/>
      <c r="E362" s="36"/>
      <c r="F362" s="36"/>
      <c r="G362" s="36"/>
    </row>
    <row r="363" spans="1:7" ht="14.4" x14ac:dyDescent="0.3">
      <c r="A363" s="20"/>
      <c r="B363" s="36"/>
      <c r="C363" s="36"/>
      <c r="D363" s="36"/>
      <c r="E363" s="36"/>
      <c r="F363" s="36"/>
      <c r="G363" s="36"/>
    </row>
    <row r="364" spans="1:7" ht="14.4" x14ac:dyDescent="0.3">
      <c r="A364" s="20"/>
      <c r="B364" s="36"/>
      <c r="C364" s="36"/>
      <c r="D364" s="36"/>
      <c r="E364" s="36"/>
      <c r="F364" s="36"/>
      <c r="G364" s="36"/>
    </row>
    <row r="365" spans="1:7" ht="14.4" x14ac:dyDescent="0.3">
      <c r="A365" s="20"/>
      <c r="B365" s="36"/>
      <c r="C365" s="36"/>
      <c r="D365" s="36"/>
      <c r="E365" s="36"/>
      <c r="F365" s="36"/>
      <c r="G365" s="36"/>
    </row>
    <row r="366" spans="1:7" ht="14.4" x14ac:dyDescent="0.3">
      <c r="A366" s="20"/>
      <c r="B366" s="36"/>
      <c r="C366" s="36"/>
      <c r="D366" s="36"/>
      <c r="E366" s="36"/>
      <c r="F366" s="36"/>
      <c r="G366" s="36"/>
    </row>
    <row r="367" spans="1:7" ht="14.4" x14ac:dyDescent="0.3">
      <c r="A367" s="20"/>
      <c r="B367" s="36"/>
      <c r="C367" s="36"/>
      <c r="D367" s="36"/>
      <c r="E367" s="36"/>
      <c r="F367" s="36"/>
      <c r="G367" s="36"/>
    </row>
    <row r="368" spans="1:7" ht="14.4" x14ac:dyDescent="0.3">
      <c r="A368" s="20"/>
      <c r="B368" s="36"/>
      <c r="C368" s="36"/>
      <c r="D368" s="36"/>
      <c r="E368" s="36"/>
      <c r="F368" s="36"/>
      <c r="G368" s="36"/>
    </row>
    <row r="369" spans="1:7" ht="14.4" x14ac:dyDescent="0.3">
      <c r="A369" s="20"/>
      <c r="B369" s="36"/>
      <c r="C369" s="36"/>
      <c r="D369" s="36"/>
      <c r="E369" s="36"/>
      <c r="F369" s="36"/>
      <c r="G369" s="36"/>
    </row>
    <row r="370" spans="1:7" ht="14.4" x14ac:dyDescent="0.3">
      <c r="A370" s="20"/>
      <c r="B370" s="36"/>
      <c r="C370" s="36"/>
      <c r="D370" s="36"/>
      <c r="E370" s="36"/>
      <c r="F370" s="36"/>
      <c r="G370" s="36"/>
    </row>
    <row r="371" spans="1:7" ht="14.4" x14ac:dyDescent="0.3">
      <c r="A371" s="20"/>
      <c r="B371" s="36"/>
      <c r="C371" s="36"/>
      <c r="D371" s="36"/>
      <c r="E371" s="36"/>
      <c r="F371" s="36"/>
      <c r="G371" s="36"/>
    </row>
    <row r="372" spans="1:7" ht="14.4" x14ac:dyDescent="0.3">
      <c r="A372" s="20"/>
      <c r="B372" s="36"/>
      <c r="C372" s="36"/>
      <c r="D372" s="36"/>
      <c r="E372" s="36"/>
      <c r="F372" s="36"/>
      <c r="G372" s="36"/>
    </row>
    <row r="373" spans="1:7" ht="14.4" x14ac:dyDescent="0.3">
      <c r="A373" s="20"/>
      <c r="B373" s="36"/>
      <c r="C373" s="36"/>
      <c r="D373" s="36"/>
      <c r="E373" s="36"/>
      <c r="F373" s="36"/>
      <c r="G373" s="36"/>
    </row>
    <row r="374" spans="1:7" ht="14.4" x14ac:dyDescent="0.3">
      <c r="A374" s="20"/>
      <c r="B374" s="36"/>
      <c r="C374" s="36"/>
      <c r="D374" s="36"/>
      <c r="E374" s="36"/>
      <c r="F374" s="36"/>
      <c r="G374" s="36"/>
    </row>
    <row r="375" spans="1:7" ht="14.4" x14ac:dyDescent="0.3">
      <c r="A375" s="20"/>
      <c r="B375" s="36"/>
      <c r="C375" s="36"/>
      <c r="D375" s="36"/>
      <c r="E375" s="36"/>
      <c r="F375" s="36"/>
      <c r="G375" s="36"/>
    </row>
    <row r="376" spans="1:7" ht="14.4" x14ac:dyDescent="0.3">
      <c r="A376" s="20"/>
      <c r="B376" s="36"/>
      <c r="C376" s="36"/>
      <c r="D376" s="36"/>
      <c r="E376" s="36"/>
      <c r="F376" s="36"/>
      <c r="G376" s="36"/>
    </row>
    <row r="377" spans="1:7" ht="14.4" x14ac:dyDescent="0.3">
      <c r="A377" s="20"/>
      <c r="B377" s="36"/>
      <c r="C377" s="36"/>
      <c r="D377" s="36"/>
      <c r="E377" s="36"/>
      <c r="F377" s="36"/>
      <c r="G377" s="36"/>
    </row>
    <row r="378" spans="1:7" ht="14.4" x14ac:dyDescent="0.3">
      <c r="A378" s="20"/>
      <c r="B378" s="36"/>
      <c r="C378" s="36"/>
      <c r="D378" s="36"/>
      <c r="E378" s="36"/>
      <c r="F378" s="36"/>
      <c r="G378" s="36"/>
    </row>
    <row r="379" spans="1:7" ht="14.4" x14ac:dyDescent="0.3">
      <c r="A379" s="20"/>
      <c r="B379" s="36"/>
      <c r="C379" s="36"/>
      <c r="D379" s="36"/>
      <c r="E379" s="36"/>
      <c r="F379" s="36"/>
      <c r="G379" s="36"/>
    </row>
    <row r="380" spans="1:7" ht="14.4" x14ac:dyDescent="0.3">
      <c r="A380" s="20"/>
      <c r="B380" s="36"/>
      <c r="C380" s="36"/>
      <c r="D380" s="36"/>
      <c r="E380" s="36"/>
      <c r="F380" s="36"/>
      <c r="G380" s="36"/>
    </row>
    <row r="381" spans="1:7" ht="14.4" x14ac:dyDescent="0.3">
      <c r="A381" s="20"/>
      <c r="B381" s="36"/>
      <c r="C381" s="36"/>
      <c r="D381" s="36"/>
      <c r="E381" s="36"/>
      <c r="F381" s="36"/>
      <c r="G381" s="36"/>
    </row>
    <row r="382" spans="1:7" ht="14.4" x14ac:dyDescent="0.3">
      <c r="A382" s="20"/>
      <c r="B382" s="36"/>
      <c r="C382" s="36"/>
      <c r="D382" s="36"/>
      <c r="E382" s="36"/>
      <c r="F382" s="36"/>
      <c r="G382" s="36"/>
    </row>
    <row r="383" spans="1:7" ht="14.4" x14ac:dyDescent="0.3">
      <c r="A383" s="20"/>
      <c r="B383" s="36"/>
      <c r="C383" s="36"/>
      <c r="D383" s="36"/>
      <c r="E383" s="36"/>
      <c r="F383" s="36"/>
      <c r="G383" s="36"/>
    </row>
    <row r="384" spans="1:7" ht="14.4" x14ac:dyDescent="0.3">
      <c r="A384" s="20"/>
      <c r="B384" s="36"/>
      <c r="C384" s="36"/>
      <c r="D384" s="36"/>
      <c r="E384" s="36"/>
      <c r="F384" s="36"/>
      <c r="G384" s="36"/>
    </row>
    <row r="385" spans="1:7" ht="14.4" x14ac:dyDescent="0.3">
      <c r="A385" s="20"/>
      <c r="B385" s="36"/>
      <c r="C385" s="36"/>
      <c r="D385" s="36"/>
      <c r="E385" s="36"/>
      <c r="F385" s="36"/>
      <c r="G385" s="36"/>
    </row>
    <row r="386" spans="1:7" ht="14.4" x14ac:dyDescent="0.3">
      <c r="A386" s="20"/>
      <c r="B386" s="36"/>
      <c r="C386" s="36"/>
      <c r="D386" s="36"/>
      <c r="E386" s="36"/>
      <c r="F386" s="36"/>
      <c r="G386" s="36"/>
    </row>
    <row r="387" spans="1:7" ht="14.4" x14ac:dyDescent="0.3">
      <c r="A387" s="20"/>
      <c r="B387" s="36"/>
      <c r="C387" s="36"/>
      <c r="D387" s="36"/>
      <c r="E387" s="36"/>
      <c r="F387" s="36"/>
      <c r="G387" s="36"/>
    </row>
    <row r="388" spans="1:7" ht="14.4" x14ac:dyDescent="0.3">
      <c r="A388" s="20"/>
      <c r="B388" s="36"/>
      <c r="C388" s="36"/>
      <c r="D388" s="36"/>
      <c r="E388" s="36"/>
      <c r="F388" s="36"/>
      <c r="G388" s="36"/>
    </row>
    <row r="389" spans="1:7" ht="14.4" x14ac:dyDescent="0.3">
      <c r="A389" s="20"/>
      <c r="B389" s="36"/>
      <c r="C389" s="36"/>
      <c r="D389" s="36"/>
      <c r="E389" s="36"/>
      <c r="F389" s="36"/>
      <c r="G389" s="36"/>
    </row>
    <row r="390" spans="1:7" ht="14.4" x14ac:dyDescent="0.3">
      <c r="A390" s="20"/>
      <c r="B390" s="36"/>
      <c r="C390" s="36"/>
      <c r="D390" s="36"/>
      <c r="E390" s="36"/>
      <c r="F390" s="36"/>
      <c r="G390" s="36"/>
    </row>
    <row r="391" spans="1:7" ht="14.4" x14ac:dyDescent="0.3">
      <c r="A391" s="20"/>
      <c r="B391" s="36"/>
      <c r="C391" s="36"/>
      <c r="D391" s="36"/>
      <c r="E391" s="36"/>
      <c r="F391" s="36"/>
      <c r="G391" s="36"/>
    </row>
    <row r="392" spans="1:7" ht="14.4" x14ac:dyDescent="0.3">
      <c r="A392" s="20"/>
      <c r="B392" s="36"/>
      <c r="C392" s="36"/>
      <c r="D392" s="36"/>
      <c r="E392" s="36"/>
      <c r="F392" s="36"/>
      <c r="G392" s="36"/>
    </row>
    <row r="393" spans="1:7" ht="14.4" x14ac:dyDescent="0.3">
      <c r="A393" s="20"/>
      <c r="B393" s="36"/>
      <c r="C393" s="36"/>
      <c r="D393" s="36"/>
      <c r="E393" s="36"/>
      <c r="F393" s="36"/>
      <c r="G393" s="36"/>
    </row>
    <row r="394" spans="1:7" ht="14.4" x14ac:dyDescent="0.3">
      <c r="A394" s="20"/>
      <c r="B394" s="36"/>
      <c r="C394" s="36"/>
      <c r="D394" s="36"/>
      <c r="E394" s="36"/>
      <c r="F394" s="36"/>
      <c r="G394" s="36"/>
    </row>
    <row r="395" spans="1:7" ht="14.4" x14ac:dyDescent="0.3">
      <c r="A395" s="20"/>
      <c r="B395" s="36"/>
      <c r="C395" s="36"/>
      <c r="D395" s="36"/>
      <c r="E395" s="36"/>
      <c r="F395" s="36"/>
      <c r="G395" s="36"/>
    </row>
    <row r="396" spans="1:7" ht="14.4" x14ac:dyDescent="0.3">
      <c r="A396" s="20"/>
      <c r="B396" s="36"/>
      <c r="C396" s="36"/>
      <c r="D396" s="36"/>
      <c r="E396" s="36"/>
      <c r="F396" s="36"/>
      <c r="G396" s="36"/>
    </row>
    <row r="397" spans="1:7" ht="14.4" x14ac:dyDescent="0.3">
      <c r="A397" s="20"/>
      <c r="B397" s="36"/>
      <c r="C397" s="36"/>
      <c r="D397" s="36"/>
      <c r="E397" s="36"/>
      <c r="F397" s="36"/>
      <c r="G397" s="36"/>
    </row>
    <row r="398" spans="1:7" ht="14.4" x14ac:dyDescent="0.3">
      <c r="A398" s="20"/>
      <c r="B398" s="36"/>
      <c r="C398" s="36"/>
      <c r="D398" s="36"/>
      <c r="E398" s="36"/>
      <c r="F398" s="36"/>
      <c r="G398" s="36"/>
    </row>
    <row r="399" spans="1:7" ht="14.4" x14ac:dyDescent="0.3">
      <c r="A399" s="20"/>
      <c r="B399" s="36"/>
      <c r="C399" s="36"/>
      <c r="D399" s="36"/>
      <c r="E399" s="36"/>
      <c r="F399" s="36"/>
      <c r="G399" s="36"/>
    </row>
    <row r="400" spans="1:7" ht="14.4" x14ac:dyDescent="0.3">
      <c r="A400" s="20"/>
      <c r="B400" s="36"/>
      <c r="C400" s="36"/>
      <c r="D400" s="36"/>
      <c r="E400" s="36"/>
      <c r="F400" s="36"/>
      <c r="G400" s="36"/>
    </row>
    <row r="401" spans="1:7" ht="14.4" x14ac:dyDescent="0.3">
      <c r="A401" s="20"/>
      <c r="B401" s="36"/>
      <c r="C401" s="36"/>
      <c r="D401" s="36"/>
      <c r="E401" s="36"/>
      <c r="F401" s="36"/>
      <c r="G401" s="36"/>
    </row>
    <row r="402" spans="1:7" ht="14.4" x14ac:dyDescent="0.3">
      <c r="A402" s="20"/>
      <c r="B402" s="36"/>
      <c r="C402" s="36"/>
      <c r="D402" s="36"/>
      <c r="E402" s="36"/>
      <c r="F402" s="36"/>
      <c r="G402" s="36"/>
    </row>
    <row r="403" spans="1:7" ht="14.4" x14ac:dyDescent="0.3">
      <c r="A403" s="20"/>
      <c r="B403" s="36"/>
      <c r="C403" s="36"/>
      <c r="D403" s="36"/>
      <c r="E403" s="36"/>
      <c r="F403" s="36"/>
      <c r="G403" s="36"/>
    </row>
    <row r="404" spans="1:7" ht="14.4" x14ac:dyDescent="0.3">
      <c r="A404" s="20"/>
      <c r="B404" s="36"/>
      <c r="C404" s="36"/>
      <c r="D404" s="36"/>
      <c r="E404" s="36"/>
      <c r="F404" s="36"/>
      <c r="G404" s="36"/>
    </row>
    <row r="405" spans="1:7" ht="14.4" x14ac:dyDescent="0.3">
      <c r="A405" s="20"/>
      <c r="B405" s="36"/>
      <c r="C405" s="36"/>
      <c r="D405" s="36"/>
      <c r="E405" s="36"/>
      <c r="F405" s="36"/>
      <c r="G405" s="36"/>
    </row>
    <row r="406" spans="1:7" ht="14.4" x14ac:dyDescent="0.3">
      <c r="A406" s="20"/>
      <c r="B406" s="36"/>
      <c r="C406" s="36"/>
      <c r="D406" s="36"/>
      <c r="E406" s="36"/>
      <c r="F406" s="36"/>
      <c r="G406" s="36"/>
    </row>
    <row r="407" spans="1:7" ht="14.4" x14ac:dyDescent="0.3">
      <c r="A407" s="20"/>
      <c r="B407" s="36"/>
      <c r="C407" s="36"/>
      <c r="D407" s="36"/>
      <c r="E407" s="36"/>
      <c r="F407" s="36"/>
      <c r="G407" s="36"/>
    </row>
    <row r="408" spans="1:7" ht="14.4" x14ac:dyDescent="0.3">
      <c r="A408" s="20"/>
      <c r="B408" s="36"/>
      <c r="C408" s="36"/>
      <c r="D408" s="36"/>
      <c r="E408" s="36"/>
      <c r="F408" s="36"/>
      <c r="G408" s="36"/>
    </row>
    <row r="409" spans="1:7" ht="14.4" x14ac:dyDescent="0.3">
      <c r="A409" s="20"/>
      <c r="B409" s="36"/>
      <c r="C409" s="36"/>
      <c r="D409" s="36"/>
      <c r="E409" s="36"/>
      <c r="F409" s="36"/>
      <c r="G409" s="36"/>
    </row>
    <row r="410" spans="1:7" ht="14.4" x14ac:dyDescent="0.3">
      <c r="A410" s="20"/>
      <c r="B410" s="36"/>
      <c r="C410" s="36"/>
      <c r="D410" s="36"/>
      <c r="E410" s="36"/>
      <c r="F410" s="36"/>
      <c r="G410" s="36"/>
    </row>
    <row r="411" spans="1:7" ht="14.4" x14ac:dyDescent="0.3">
      <c r="A411" s="20"/>
      <c r="B411" s="36"/>
      <c r="C411" s="36"/>
      <c r="D411" s="36"/>
      <c r="E411" s="36"/>
      <c r="F411" s="36"/>
      <c r="G411" s="36"/>
    </row>
    <row r="412" spans="1:7" ht="14.4" x14ac:dyDescent="0.3">
      <c r="A412" s="20"/>
      <c r="B412" s="36"/>
      <c r="C412" s="36"/>
      <c r="D412" s="36"/>
      <c r="E412" s="36"/>
      <c r="F412" s="36"/>
      <c r="G412" s="36"/>
    </row>
    <row r="413" spans="1:7" ht="14.4" x14ac:dyDescent="0.3">
      <c r="A413" s="20"/>
      <c r="B413" s="36"/>
      <c r="C413" s="36"/>
      <c r="D413" s="36"/>
      <c r="E413" s="36"/>
      <c r="F413" s="36"/>
      <c r="G413" s="36"/>
    </row>
    <row r="414" spans="1:7" ht="14.4" x14ac:dyDescent="0.3">
      <c r="A414" s="20"/>
      <c r="B414" s="36"/>
      <c r="C414" s="36"/>
      <c r="D414" s="36"/>
      <c r="E414" s="36"/>
      <c r="F414" s="36"/>
      <c r="G414" s="36"/>
    </row>
    <row r="415" spans="1:7" ht="14.4" x14ac:dyDescent="0.3">
      <c r="A415" s="20"/>
      <c r="B415" s="36"/>
      <c r="C415" s="36"/>
      <c r="D415" s="36"/>
      <c r="E415" s="36"/>
      <c r="F415" s="36"/>
      <c r="G415" s="36"/>
    </row>
    <row r="416" spans="1:7" ht="14.4" x14ac:dyDescent="0.3">
      <c r="A416" s="20"/>
      <c r="B416" s="36"/>
      <c r="C416" s="36"/>
      <c r="D416" s="36"/>
      <c r="E416" s="36"/>
      <c r="F416" s="36"/>
      <c r="G416" s="36"/>
    </row>
    <row r="417" spans="1:7" ht="14.4" x14ac:dyDescent="0.3">
      <c r="A417" s="20"/>
      <c r="B417" s="36"/>
      <c r="C417" s="36"/>
      <c r="D417" s="36"/>
      <c r="E417" s="36"/>
      <c r="F417" s="36"/>
      <c r="G417" s="36"/>
    </row>
    <row r="418" spans="1:7" ht="14.4" x14ac:dyDescent="0.3">
      <c r="A418" s="20"/>
      <c r="B418" s="36"/>
      <c r="C418" s="36"/>
      <c r="D418" s="36"/>
      <c r="E418" s="36"/>
      <c r="F418" s="36"/>
      <c r="G418" s="36"/>
    </row>
    <row r="419" spans="1:7" ht="14.4" x14ac:dyDescent="0.3">
      <c r="A419" s="20"/>
      <c r="B419" s="36"/>
      <c r="C419" s="36"/>
      <c r="D419" s="36"/>
      <c r="E419" s="36"/>
      <c r="F419" s="36"/>
      <c r="G419" s="36"/>
    </row>
    <row r="420" spans="1:7" ht="14.4" x14ac:dyDescent="0.3">
      <c r="A420" s="20"/>
      <c r="B420" s="36"/>
      <c r="C420" s="36"/>
      <c r="D420" s="36"/>
      <c r="E420" s="36"/>
      <c r="F420" s="36"/>
      <c r="G420" s="36"/>
    </row>
    <row r="421" spans="1:7" ht="14.4" x14ac:dyDescent="0.3">
      <c r="A421" s="20"/>
      <c r="B421" s="36"/>
      <c r="C421" s="36"/>
      <c r="D421" s="36"/>
      <c r="E421" s="36"/>
      <c r="F421" s="36"/>
      <c r="G421" s="36"/>
    </row>
    <row r="422" spans="1:7" ht="14.4" x14ac:dyDescent="0.3">
      <c r="A422" s="20"/>
      <c r="B422" s="36"/>
      <c r="C422" s="36"/>
      <c r="D422" s="36"/>
      <c r="E422" s="36"/>
      <c r="F422" s="36"/>
      <c r="G422" s="36"/>
    </row>
    <row r="423" spans="1:7" ht="14.4" x14ac:dyDescent="0.3">
      <c r="A423" s="20"/>
      <c r="B423" s="36"/>
      <c r="C423" s="36"/>
      <c r="D423" s="36"/>
      <c r="E423" s="36"/>
      <c r="F423" s="36"/>
      <c r="G423" s="36"/>
    </row>
    <row r="424" spans="1:7" ht="14.4" x14ac:dyDescent="0.3">
      <c r="A424" s="20"/>
      <c r="B424" s="36"/>
      <c r="C424" s="36"/>
      <c r="D424" s="36"/>
      <c r="E424" s="36"/>
      <c r="F424" s="36"/>
      <c r="G424" s="36"/>
    </row>
    <row r="425" spans="1:7" ht="14.4" x14ac:dyDescent="0.3">
      <c r="A425" s="20"/>
      <c r="B425" s="36"/>
      <c r="C425" s="36"/>
      <c r="D425" s="36"/>
      <c r="E425" s="36"/>
      <c r="F425" s="36"/>
      <c r="G425" s="36"/>
    </row>
    <row r="426" spans="1:7" ht="14.4" x14ac:dyDescent="0.3">
      <c r="A426" s="20"/>
      <c r="B426" s="36"/>
      <c r="C426" s="36"/>
      <c r="D426" s="36"/>
      <c r="E426" s="36"/>
      <c r="F426" s="36"/>
      <c r="G426" s="36"/>
    </row>
    <row r="427" spans="1:7" ht="14.4" x14ac:dyDescent="0.3">
      <c r="A427" s="20"/>
      <c r="B427" s="36"/>
      <c r="C427" s="36"/>
      <c r="D427" s="36"/>
      <c r="E427" s="36"/>
      <c r="F427" s="36"/>
      <c r="G427" s="36"/>
    </row>
    <row r="428" spans="1:7" ht="14.4" x14ac:dyDescent="0.3">
      <c r="A428" s="20"/>
      <c r="B428" s="36"/>
      <c r="C428" s="36"/>
      <c r="D428" s="36"/>
      <c r="E428" s="36"/>
      <c r="F428" s="36"/>
      <c r="G428" s="36"/>
    </row>
    <row r="429" spans="1:7" ht="14.4" x14ac:dyDescent="0.3">
      <c r="A429" s="20"/>
      <c r="B429" s="36"/>
      <c r="C429" s="36"/>
      <c r="D429" s="36"/>
      <c r="E429" s="36"/>
      <c r="F429" s="36"/>
      <c r="G429" s="36"/>
    </row>
    <row r="430" spans="1:7" ht="14.4" x14ac:dyDescent="0.3">
      <c r="A430" s="20"/>
      <c r="B430" s="36"/>
      <c r="C430" s="36"/>
      <c r="D430" s="36"/>
      <c r="E430" s="36"/>
      <c r="F430" s="36"/>
      <c r="G430" s="36"/>
    </row>
    <row r="431" spans="1:7" ht="14.4" x14ac:dyDescent="0.3">
      <c r="A431" s="20"/>
      <c r="B431" s="36"/>
      <c r="C431" s="36"/>
      <c r="D431" s="36"/>
      <c r="E431" s="36"/>
      <c r="F431" s="36"/>
      <c r="G431" s="36"/>
    </row>
    <row r="432" spans="1:7" ht="14.4" x14ac:dyDescent="0.3">
      <c r="A432" s="20"/>
      <c r="B432" s="36"/>
      <c r="C432" s="36"/>
      <c r="D432" s="36"/>
      <c r="E432" s="36"/>
      <c r="F432" s="36"/>
      <c r="G432" s="36"/>
    </row>
    <row r="433" spans="1:7" ht="14.4" x14ac:dyDescent="0.3">
      <c r="A433" s="20"/>
      <c r="B433" s="36"/>
      <c r="C433" s="36"/>
      <c r="D433" s="36"/>
      <c r="E433" s="36"/>
      <c r="F433" s="36"/>
      <c r="G433" s="36"/>
    </row>
    <row r="434" spans="1:7" ht="14.4" x14ac:dyDescent="0.3">
      <c r="A434" s="20"/>
      <c r="B434" s="36"/>
      <c r="C434" s="36"/>
      <c r="D434" s="36"/>
      <c r="E434" s="36"/>
      <c r="F434" s="36"/>
      <c r="G434" s="36"/>
    </row>
    <row r="435" spans="1:7" ht="14.4" x14ac:dyDescent="0.3">
      <c r="A435" s="20"/>
      <c r="B435" s="36"/>
      <c r="C435" s="36"/>
      <c r="D435" s="36"/>
      <c r="E435" s="36"/>
      <c r="F435" s="36"/>
      <c r="G435" s="36"/>
    </row>
    <row r="436" spans="1:7" ht="14.4" x14ac:dyDescent="0.3">
      <c r="A436" s="20"/>
      <c r="B436" s="36"/>
      <c r="C436" s="36"/>
      <c r="D436" s="36"/>
      <c r="E436" s="36"/>
      <c r="F436" s="36"/>
      <c r="G436" s="36"/>
    </row>
    <row r="437" spans="1:7" ht="14.4" x14ac:dyDescent="0.3">
      <c r="A437" s="20"/>
      <c r="B437" s="36"/>
      <c r="C437" s="36"/>
      <c r="D437" s="36"/>
      <c r="E437" s="36"/>
      <c r="F437" s="36"/>
      <c r="G437" s="36"/>
    </row>
    <row r="438" spans="1:7" ht="14.4" x14ac:dyDescent="0.3">
      <c r="A438" s="20"/>
      <c r="B438" s="36"/>
      <c r="C438" s="36"/>
      <c r="D438" s="36"/>
      <c r="E438" s="36"/>
      <c r="F438" s="36"/>
      <c r="G438" s="36"/>
    </row>
    <row r="439" spans="1:7" ht="14.4" x14ac:dyDescent="0.3">
      <c r="A439" s="20"/>
      <c r="B439" s="36"/>
      <c r="C439" s="36"/>
      <c r="D439" s="36"/>
      <c r="E439" s="36"/>
      <c r="F439" s="36"/>
      <c r="G439" s="36"/>
    </row>
    <row r="440" spans="1:7" ht="14.4" x14ac:dyDescent="0.3">
      <c r="A440" s="20"/>
      <c r="B440" s="36"/>
      <c r="C440" s="36"/>
      <c r="D440" s="36"/>
      <c r="E440" s="36"/>
      <c r="F440" s="36"/>
      <c r="G440" s="36"/>
    </row>
    <row r="441" spans="1:7" ht="14.4" x14ac:dyDescent="0.3">
      <c r="A441" s="20"/>
      <c r="B441" s="36"/>
      <c r="C441" s="36"/>
      <c r="D441" s="36"/>
      <c r="E441" s="36"/>
      <c r="F441" s="36"/>
      <c r="G441" s="36"/>
    </row>
    <row r="442" spans="1:7" ht="14.4" x14ac:dyDescent="0.3">
      <c r="A442" s="20"/>
      <c r="B442" s="36"/>
      <c r="C442" s="36"/>
      <c r="D442" s="36"/>
      <c r="E442" s="36"/>
      <c r="F442" s="36"/>
      <c r="G442" s="36"/>
    </row>
    <row r="443" spans="1:7" ht="14.4" x14ac:dyDescent="0.3">
      <c r="A443" s="20"/>
      <c r="B443" s="36"/>
      <c r="C443" s="36"/>
      <c r="D443" s="36"/>
      <c r="E443" s="36"/>
      <c r="F443" s="36"/>
      <c r="G443" s="36"/>
    </row>
    <row r="444" spans="1:7" ht="14.4" x14ac:dyDescent="0.3">
      <c r="A444" s="20"/>
      <c r="B444" s="36"/>
      <c r="C444" s="36"/>
      <c r="D444" s="36"/>
      <c r="E444" s="36"/>
      <c r="F444" s="36"/>
      <c r="G444" s="36"/>
    </row>
    <row r="445" spans="1:7" ht="14.4" x14ac:dyDescent="0.3">
      <c r="A445" s="20"/>
      <c r="B445" s="36"/>
      <c r="C445" s="36"/>
      <c r="D445" s="36"/>
      <c r="E445" s="36"/>
      <c r="F445" s="36"/>
      <c r="G445" s="36"/>
    </row>
    <row r="446" spans="1:7" ht="14.4" x14ac:dyDescent="0.3">
      <c r="A446" s="20"/>
      <c r="B446" s="36"/>
      <c r="C446" s="36"/>
      <c r="D446" s="36"/>
      <c r="E446" s="36"/>
      <c r="F446" s="36"/>
      <c r="G446" s="36"/>
    </row>
    <row r="447" spans="1:7" ht="14.4" x14ac:dyDescent="0.3">
      <c r="A447" s="20"/>
      <c r="B447" s="36"/>
      <c r="C447" s="36"/>
      <c r="D447" s="36"/>
      <c r="E447" s="36"/>
      <c r="F447" s="36"/>
      <c r="G447" s="36"/>
    </row>
    <row r="448" spans="1:7" ht="14.4" x14ac:dyDescent="0.3">
      <c r="A448" s="20"/>
      <c r="B448" s="36"/>
      <c r="C448" s="36"/>
      <c r="D448" s="36"/>
      <c r="E448" s="36"/>
      <c r="F448" s="36"/>
      <c r="G448" s="36"/>
    </row>
    <row r="449" spans="1:7" ht="14.4" x14ac:dyDescent="0.3">
      <c r="A449" s="20"/>
      <c r="B449" s="36"/>
      <c r="C449" s="36"/>
      <c r="D449" s="36"/>
      <c r="E449" s="36"/>
      <c r="F449" s="36"/>
      <c r="G449" s="36"/>
    </row>
    <row r="450" spans="1:7" ht="14.4" x14ac:dyDescent="0.3">
      <c r="A450" s="20"/>
      <c r="B450" s="36"/>
      <c r="C450" s="36"/>
      <c r="D450" s="36"/>
      <c r="E450" s="36"/>
      <c r="F450" s="36"/>
      <c r="G450" s="36"/>
    </row>
    <row r="451" spans="1:7" ht="14.4" x14ac:dyDescent="0.3">
      <c r="A451" s="20"/>
      <c r="B451" s="36"/>
      <c r="C451" s="36"/>
      <c r="D451" s="36"/>
      <c r="E451" s="36"/>
      <c r="F451" s="36"/>
      <c r="G451" s="36"/>
    </row>
    <row r="452" spans="1:7" ht="14.4" x14ac:dyDescent="0.3">
      <c r="A452" s="20"/>
      <c r="B452" s="36"/>
      <c r="C452" s="36"/>
      <c r="D452" s="36"/>
      <c r="E452" s="36"/>
      <c r="F452" s="36"/>
      <c r="G452" s="36"/>
    </row>
    <row r="453" spans="1:7" ht="14.4" x14ac:dyDescent="0.3">
      <c r="A453" s="20"/>
      <c r="B453" s="36"/>
      <c r="C453" s="36"/>
      <c r="D453" s="36"/>
      <c r="E453" s="36"/>
      <c r="F453" s="36"/>
      <c r="G453" s="36"/>
    </row>
    <row r="454" spans="1:7" ht="14.4" x14ac:dyDescent="0.3">
      <c r="A454" s="20"/>
      <c r="B454" s="36"/>
      <c r="C454" s="36"/>
      <c r="D454" s="36"/>
      <c r="E454" s="36"/>
      <c r="F454" s="36"/>
      <c r="G454" s="36"/>
    </row>
    <row r="455" spans="1:7" ht="14.4" x14ac:dyDescent="0.3">
      <c r="A455" s="20"/>
      <c r="B455" s="36"/>
      <c r="C455" s="36"/>
      <c r="D455" s="36"/>
      <c r="E455" s="36"/>
      <c r="F455" s="36"/>
      <c r="G455" s="36"/>
    </row>
    <row r="456" spans="1:7" ht="14.4" x14ac:dyDescent="0.3">
      <c r="A456" s="20"/>
      <c r="B456" s="36"/>
      <c r="C456" s="36"/>
      <c r="D456" s="36"/>
      <c r="E456" s="36"/>
      <c r="F456" s="36"/>
      <c r="G456" s="36"/>
    </row>
    <row r="457" spans="1:7" ht="14.4" x14ac:dyDescent="0.3">
      <c r="A457" s="20"/>
      <c r="B457" s="36"/>
      <c r="C457" s="36"/>
      <c r="D457" s="36"/>
      <c r="E457" s="36"/>
      <c r="F457" s="36"/>
      <c r="G457" s="36"/>
    </row>
    <row r="458" spans="1:7" ht="14.4" x14ac:dyDescent="0.3">
      <c r="A458" s="20"/>
      <c r="B458" s="36"/>
      <c r="C458" s="36"/>
      <c r="D458" s="36"/>
      <c r="E458" s="36"/>
      <c r="F458" s="36"/>
      <c r="G458" s="36"/>
    </row>
    <row r="459" spans="1:7" ht="14.4" x14ac:dyDescent="0.3">
      <c r="A459" s="20"/>
      <c r="B459" s="36"/>
      <c r="C459" s="36"/>
      <c r="D459" s="36"/>
      <c r="E459" s="36"/>
      <c r="F459" s="36"/>
      <c r="G459" s="36"/>
    </row>
    <row r="460" spans="1:7" ht="14.4" x14ac:dyDescent="0.3">
      <c r="A460" s="20"/>
      <c r="B460" s="36"/>
      <c r="C460" s="36"/>
      <c r="D460" s="36"/>
      <c r="E460" s="36"/>
      <c r="F460" s="36"/>
      <c r="G460" s="36"/>
    </row>
    <row r="461" spans="1:7" ht="14.4" x14ac:dyDescent="0.3">
      <c r="A461" s="20"/>
      <c r="B461" s="36"/>
      <c r="C461" s="36"/>
      <c r="D461" s="36"/>
      <c r="E461" s="36"/>
      <c r="F461" s="36"/>
      <c r="G461" s="36"/>
    </row>
    <row r="462" spans="1:7" ht="14.4" x14ac:dyDescent="0.3">
      <c r="A462" s="20"/>
      <c r="B462" s="36"/>
      <c r="C462" s="36"/>
      <c r="D462" s="36"/>
      <c r="E462" s="36"/>
      <c r="F462" s="36"/>
      <c r="G462" s="36"/>
    </row>
    <row r="463" spans="1:7" ht="14.4" x14ac:dyDescent="0.3">
      <c r="A463" s="20"/>
      <c r="B463" s="36"/>
      <c r="C463" s="36"/>
      <c r="D463" s="36"/>
      <c r="E463" s="36"/>
      <c r="F463" s="36"/>
      <c r="G463" s="36"/>
    </row>
    <row r="464" spans="1:7" ht="14.4" x14ac:dyDescent="0.3">
      <c r="A464" s="20"/>
      <c r="B464" s="36"/>
      <c r="C464" s="36"/>
      <c r="D464" s="36"/>
      <c r="E464" s="36"/>
      <c r="F464" s="36"/>
      <c r="G464" s="36"/>
    </row>
    <row r="465" spans="1:7" ht="14.4" x14ac:dyDescent="0.3">
      <c r="A465" s="20"/>
      <c r="B465" s="36"/>
      <c r="C465" s="36"/>
      <c r="D465" s="36"/>
      <c r="E465" s="36"/>
      <c r="F465" s="36"/>
      <c r="G465" s="36"/>
    </row>
    <row r="466" spans="1:7" ht="14.4" x14ac:dyDescent="0.3">
      <c r="A466" s="20"/>
      <c r="B466" s="36"/>
      <c r="C466" s="36"/>
      <c r="D466" s="36"/>
      <c r="E466" s="36"/>
      <c r="F466" s="36"/>
      <c r="G466" s="36"/>
    </row>
    <row r="467" spans="1:7" ht="14.4" x14ac:dyDescent="0.3">
      <c r="A467" s="20"/>
      <c r="B467" s="36"/>
      <c r="C467" s="36"/>
      <c r="D467" s="36"/>
      <c r="E467" s="36"/>
      <c r="F467" s="36"/>
      <c r="G467" s="36"/>
    </row>
    <row r="468" spans="1:7" ht="14.4" x14ac:dyDescent="0.3">
      <c r="A468" s="20"/>
      <c r="B468" s="36"/>
      <c r="C468" s="36"/>
      <c r="D468" s="36"/>
      <c r="E468" s="36"/>
      <c r="F468" s="36"/>
      <c r="G468" s="36"/>
    </row>
    <row r="469" spans="1:7" ht="14.4" x14ac:dyDescent="0.3">
      <c r="A469" s="20"/>
      <c r="B469" s="36"/>
      <c r="C469" s="36"/>
      <c r="D469" s="36"/>
      <c r="E469" s="36"/>
      <c r="F469" s="36"/>
      <c r="G469" s="36"/>
    </row>
    <row r="470" spans="1:7" ht="14.4" x14ac:dyDescent="0.3">
      <c r="A470" s="20"/>
      <c r="B470" s="36"/>
      <c r="C470" s="36"/>
      <c r="D470" s="36"/>
      <c r="E470" s="36"/>
      <c r="F470" s="36"/>
      <c r="G470" s="36"/>
    </row>
    <row r="471" spans="1:7" ht="14.4" x14ac:dyDescent="0.3">
      <c r="A471" s="20"/>
      <c r="B471" s="36"/>
      <c r="C471" s="36"/>
      <c r="D471" s="36"/>
      <c r="E471" s="36"/>
      <c r="F471" s="36"/>
      <c r="G471" s="36"/>
    </row>
    <row r="472" spans="1:7" ht="14.4" x14ac:dyDescent="0.3">
      <c r="A472" s="20"/>
      <c r="B472" s="36"/>
      <c r="C472" s="36"/>
      <c r="D472" s="36"/>
      <c r="E472" s="36"/>
      <c r="F472" s="36"/>
      <c r="G472" s="36"/>
    </row>
    <row r="473" spans="1:7" ht="14.4" x14ac:dyDescent="0.3">
      <c r="A473" s="20"/>
      <c r="B473" s="36"/>
      <c r="C473" s="36"/>
      <c r="D473" s="36"/>
      <c r="E473" s="36"/>
      <c r="F473" s="36"/>
      <c r="G473" s="36"/>
    </row>
    <row r="474" spans="1:7" ht="14.4" x14ac:dyDescent="0.3">
      <c r="A474" s="20"/>
      <c r="B474" s="36"/>
      <c r="C474" s="36"/>
      <c r="D474" s="36"/>
      <c r="E474" s="36"/>
      <c r="F474" s="36"/>
      <c r="G474" s="36"/>
    </row>
    <row r="475" spans="1:7" ht="14.4" x14ac:dyDescent="0.3">
      <c r="A475" s="20"/>
      <c r="B475" s="36"/>
      <c r="C475" s="36"/>
      <c r="D475" s="36"/>
      <c r="E475" s="36"/>
      <c r="F475" s="36"/>
      <c r="G475" s="36"/>
    </row>
    <row r="476" spans="1:7" ht="14.4" x14ac:dyDescent="0.3">
      <c r="A476" s="20"/>
      <c r="B476" s="36"/>
      <c r="C476" s="36"/>
      <c r="D476" s="36"/>
      <c r="E476" s="36"/>
      <c r="F476" s="36"/>
      <c r="G476" s="36"/>
    </row>
    <row r="477" spans="1:7" ht="14.4" x14ac:dyDescent="0.3">
      <c r="A477" s="20"/>
      <c r="B477" s="36"/>
      <c r="C477" s="36"/>
      <c r="D477" s="36"/>
      <c r="E477" s="36"/>
      <c r="F477" s="36"/>
      <c r="G477" s="36"/>
    </row>
    <row r="478" spans="1:7" ht="14.4" x14ac:dyDescent="0.3">
      <c r="A478" s="20"/>
      <c r="B478" s="36"/>
      <c r="C478" s="36"/>
      <c r="D478" s="36"/>
      <c r="E478" s="36"/>
      <c r="F478" s="36"/>
      <c r="G478" s="36"/>
    </row>
    <row r="479" spans="1:7" ht="14.4" x14ac:dyDescent="0.3">
      <c r="A479" s="20"/>
      <c r="B479" s="36"/>
      <c r="C479" s="36"/>
      <c r="D479" s="36"/>
      <c r="E479" s="36"/>
      <c r="F479" s="36"/>
      <c r="G479" s="36"/>
    </row>
    <row r="480" spans="1:7" ht="14.4" x14ac:dyDescent="0.3">
      <c r="A480" s="20"/>
      <c r="B480" s="36"/>
      <c r="C480" s="36"/>
      <c r="D480" s="36"/>
      <c r="E480" s="36"/>
      <c r="F480" s="36"/>
      <c r="G480" s="36"/>
    </row>
    <row r="481" spans="1:7" ht="14.4" x14ac:dyDescent="0.3">
      <c r="A481" s="20"/>
      <c r="B481" s="36"/>
      <c r="C481" s="36"/>
      <c r="D481" s="36"/>
      <c r="E481" s="36"/>
      <c r="F481" s="36"/>
      <c r="G481" s="36"/>
    </row>
    <row r="482" spans="1:7" ht="14.4" x14ac:dyDescent="0.3">
      <c r="A482" s="20"/>
      <c r="B482" s="36"/>
      <c r="C482" s="36"/>
      <c r="D482" s="36"/>
      <c r="E482" s="36"/>
      <c r="F482" s="36"/>
      <c r="G482" s="36"/>
    </row>
    <row r="483" spans="1:7" ht="14.4" x14ac:dyDescent="0.3">
      <c r="A483" s="20"/>
      <c r="B483" s="36"/>
      <c r="C483" s="36"/>
      <c r="D483" s="36"/>
      <c r="E483" s="36"/>
      <c r="F483" s="36"/>
      <c r="G483" s="36"/>
    </row>
    <row r="484" spans="1:7" ht="14.4" x14ac:dyDescent="0.3">
      <c r="A484" s="20"/>
      <c r="B484" s="36"/>
      <c r="C484" s="36"/>
      <c r="D484" s="36"/>
      <c r="E484" s="36"/>
      <c r="F484" s="36"/>
      <c r="G484" s="36"/>
    </row>
    <row r="485" spans="1:7" ht="14.4" x14ac:dyDescent="0.3">
      <c r="A485" s="20"/>
      <c r="B485" s="36"/>
      <c r="C485" s="36"/>
      <c r="D485" s="36"/>
      <c r="E485" s="36"/>
      <c r="F485" s="36"/>
      <c r="G485" s="36"/>
    </row>
    <row r="486" spans="1:7" ht="14.4" x14ac:dyDescent="0.3">
      <c r="A486" s="20"/>
      <c r="B486" s="36"/>
      <c r="C486" s="36"/>
      <c r="D486" s="36"/>
      <c r="E486" s="36"/>
      <c r="F486" s="36"/>
      <c r="G486" s="36"/>
    </row>
    <row r="487" spans="1:7" ht="14.4" x14ac:dyDescent="0.3">
      <c r="A487" s="20"/>
      <c r="B487" s="36"/>
      <c r="C487" s="36"/>
      <c r="D487" s="36"/>
      <c r="E487" s="36"/>
      <c r="F487" s="36"/>
      <c r="G487" s="36"/>
    </row>
    <row r="488" spans="1:7" ht="14.4" x14ac:dyDescent="0.3">
      <c r="A488" s="20"/>
      <c r="B488" s="36"/>
      <c r="C488" s="36"/>
      <c r="D488" s="36"/>
      <c r="E488" s="36"/>
      <c r="F488" s="36"/>
      <c r="G488" s="36"/>
    </row>
    <row r="489" spans="1:7" ht="14.4" x14ac:dyDescent="0.3">
      <c r="A489" s="20"/>
      <c r="B489" s="36"/>
      <c r="C489" s="36"/>
      <c r="D489" s="36"/>
      <c r="E489" s="36"/>
      <c r="F489" s="36"/>
      <c r="G489" s="36"/>
    </row>
    <row r="490" spans="1:7" ht="14.4" x14ac:dyDescent="0.3">
      <c r="A490" s="20"/>
      <c r="B490" s="36"/>
      <c r="C490" s="36"/>
      <c r="D490" s="36"/>
      <c r="E490" s="36"/>
      <c r="F490" s="36"/>
      <c r="G490" s="36"/>
    </row>
    <row r="491" spans="1:7" ht="14.4" x14ac:dyDescent="0.3">
      <c r="A491" s="20"/>
      <c r="B491" s="36"/>
      <c r="C491" s="36"/>
      <c r="D491" s="36"/>
      <c r="E491" s="36"/>
      <c r="F491" s="36"/>
      <c r="G491" s="36"/>
    </row>
    <row r="492" spans="1:7" ht="14.4" x14ac:dyDescent="0.3">
      <c r="A492" s="20"/>
      <c r="B492" s="36"/>
      <c r="C492" s="36"/>
      <c r="D492" s="36"/>
      <c r="E492" s="36"/>
      <c r="F492" s="36"/>
      <c r="G492" s="36"/>
    </row>
    <row r="493" spans="1:7" ht="14.4" x14ac:dyDescent="0.3">
      <c r="A493" s="20"/>
      <c r="B493" s="36"/>
      <c r="C493" s="36"/>
      <c r="D493" s="36"/>
      <c r="E493" s="36"/>
      <c r="F493" s="36"/>
      <c r="G493" s="36"/>
    </row>
    <row r="494" spans="1:7" ht="14.4" x14ac:dyDescent="0.3">
      <c r="A494" s="20"/>
      <c r="B494" s="36"/>
      <c r="C494" s="36"/>
      <c r="D494" s="36"/>
      <c r="E494" s="36"/>
      <c r="F494" s="36"/>
      <c r="G494" s="36"/>
    </row>
    <row r="495" spans="1:7" ht="14.4" x14ac:dyDescent="0.3">
      <c r="A495" s="20"/>
      <c r="B495" s="36"/>
      <c r="C495" s="36"/>
      <c r="D495" s="36"/>
      <c r="E495" s="36"/>
      <c r="F495" s="36"/>
      <c r="G495" s="36"/>
    </row>
    <row r="496" spans="1:7" ht="14.4" x14ac:dyDescent="0.3">
      <c r="A496" s="20"/>
      <c r="B496" s="36"/>
      <c r="C496" s="36"/>
      <c r="D496" s="36"/>
      <c r="E496" s="36"/>
      <c r="F496" s="36"/>
      <c r="G496" s="36"/>
    </row>
    <row r="497" spans="1:7" ht="14.4" x14ac:dyDescent="0.3">
      <c r="A497" s="20"/>
      <c r="B497" s="36"/>
      <c r="C497" s="36"/>
      <c r="D497" s="36"/>
      <c r="E497" s="36"/>
      <c r="F497" s="36"/>
      <c r="G497" s="36"/>
    </row>
    <row r="498" spans="1:7" ht="14.4" x14ac:dyDescent="0.3">
      <c r="A498" s="20"/>
      <c r="B498" s="36"/>
      <c r="C498" s="36"/>
      <c r="D498" s="36"/>
      <c r="E498" s="36"/>
      <c r="F498" s="36"/>
      <c r="G498" s="36"/>
    </row>
    <row r="499" spans="1:7" ht="14.4" x14ac:dyDescent="0.3">
      <c r="A499" s="20"/>
      <c r="B499" s="36"/>
      <c r="C499" s="36"/>
      <c r="D499" s="36"/>
      <c r="E499" s="36"/>
      <c r="F499" s="36"/>
      <c r="G499" s="36"/>
    </row>
    <row r="500" spans="1:7" ht="14.4" x14ac:dyDescent="0.3">
      <c r="A500" s="20"/>
      <c r="B500" s="36"/>
      <c r="C500" s="36"/>
      <c r="D500" s="36"/>
      <c r="E500" s="36"/>
      <c r="F500" s="36"/>
      <c r="G500" s="36"/>
    </row>
    <row r="501" spans="1:7" ht="14.4" x14ac:dyDescent="0.3">
      <c r="A501" s="20"/>
      <c r="B501" s="36"/>
      <c r="C501" s="36"/>
      <c r="D501" s="36"/>
      <c r="E501" s="36"/>
      <c r="F501" s="36"/>
      <c r="G501" s="36"/>
    </row>
    <row r="502" spans="1:7" ht="14.4" x14ac:dyDescent="0.3">
      <c r="A502" s="20"/>
      <c r="B502" s="36"/>
      <c r="C502" s="36"/>
      <c r="D502" s="36"/>
      <c r="E502" s="36"/>
      <c r="F502" s="36"/>
      <c r="G502" s="36"/>
    </row>
    <row r="503" spans="1:7" ht="14.4" x14ac:dyDescent="0.3">
      <c r="A503" s="20"/>
      <c r="B503" s="36"/>
      <c r="C503" s="36"/>
      <c r="D503" s="36"/>
      <c r="E503" s="36"/>
      <c r="F503" s="36"/>
      <c r="G503" s="36"/>
    </row>
    <row r="504" spans="1:7" ht="14.4" x14ac:dyDescent="0.3">
      <c r="A504" s="20"/>
      <c r="B504" s="36"/>
      <c r="C504" s="36"/>
      <c r="D504" s="36"/>
      <c r="E504" s="36"/>
      <c r="F504" s="36"/>
      <c r="G504" s="36"/>
    </row>
    <row r="505" spans="1:7" ht="14.4" x14ac:dyDescent="0.3">
      <c r="A505" s="20"/>
      <c r="B505" s="36"/>
      <c r="C505" s="36"/>
      <c r="D505" s="36"/>
      <c r="E505" s="36"/>
      <c r="F505" s="36"/>
      <c r="G505" s="36"/>
    </row>
    <row r="506" spans="1:7" ht="14.4" x14ac:dyDescent="0.3">
      <c r="A506" s="20"/>
      <c r="B506" s="36"/>
      <c r="C506" s="36"/>
      <c r="D506" s="36"/>
      <c r="E506" s="36"/>
      <c r="F506" s="36"/>
      <c r="G506" s="36"/>
    </row>
    <row r="507" spans="1:7" ht="14.4" x14ac:dyDescent="0.3">
      <c r="A507" s="20"/>
      <c r="B507" s="36"/>
      <c r="C507" s="36"/>
      <c r="D507" s="36"/>
      <c r="E507" s="36"/>
      <c r="F507" s="36"/>
      <c r="G507" s="36"/>
    </row>
    <row r="508" spans="1:7" ht="14.4" x14ac:dyDescent="0.3">
      <c r="A508" s="20"/>
      <c r="B508" s="36"/>
      <c r="C508" s="36"/>
      <c r="D508" s="36"/>
      <c r="E508" s="36"/>
      <c r="F508" s="36"/>
      <c r="G508" s="36"/>
    </row>
    <row r="509" spans="1:7" ht="14.4" x14ac:dyDescent="0.3">
      <c r="A509" s="20"/>
      <c r="B509" s="36"/>
      <c r="C509" s="36"/>
      <c r="D509" s="36"/>
      <c r="E509" s="36"/>
      <c r="F509" s="36"/>
      <c r="G509" s="36"/>
    </row>
    <row r="510" spans="1:7" ht="14.4" x14ac:dyDescent="0.3">
      <c r="A510" s="20"/>
      <c r="B510" s="36"/>
      <c r="C510" s="36"/>
      <c r="D510" s="36"/>
      <c r="E510" s="36"/>
      <c r="F510" s="36"/>
      <c r="G510" s="36"/>
    </row>
    <row r="511" spans="1:7" ht="14.4" x14ac:dyDescent="0.3">
      <c r="A511" s="20"/>
      <c r="B511" s="36"/>
      <c r="C511" s="36"/>
      <c r="D511" s="36"/>
      <c r="E511" s="36"/>
      <c r="F511" s="36"/>
      <c r="G511" s="36"/>
    </row>
    <row r="512" spans="1:7" ht="14.4" x14ac:dyDescent="0.3">
      <c r="A512" s="20"/>
      <c r="B512" s="36"/>
      <c r="C512" s="36"/>
      <c r="D512" s="36"/>
      <c r="E512" s="36"/>
      <c r="F512" s="36"/>
      <c r="G512" s="36"/>
    </row>
    <row r="513" spans="1:7" ht="14.4" x14ac:dyDescent="0.3">
      <c r="A513" s="20"/>
      <c r="B513" s="36"/>
      <c r="C513" s="36"/>
      <c r="D513" s="36"/>
      <c r="E513" s="36"/>
      <c r="F513" s="36"/>
      <c r="G513" s="36"/>
    </row>
    <row r="514" spans="1:7" ht="14.4" x14ac:dyDescent="0.3">
      <c r="A514" s="20"/>
      <c r="B514" s="36"/>
      <c r="C514" s="36"/>
      <c r="D514" s="36"/>
      <c r="E514" s="36"/>
      <c r="F514" s="36"/>
      <c r="G514" s="36"/>
    </row>
    <row r="515" spans="1:7" ht="14.4" x14ac:dyDescent="0.3">
      <c r="A515" s="20"/>
      <c r="B515" s="36"/>
      <c r="C515" s="36"/>
      <c r="D515" s="36"/>
      <c r="E515" s="36"/>
      <c r="F515" s="36"/>
      <c r="G515" s="36"/>
    </row>
    <row r="516" spans="1:7" ht="14.4" x14ac:dyDescent="0.3">
      <c r="A516" s="20"/>
      <c r="B516" s="36"/>
      <c r="C516" s="36"/>
      <c r="D516" s="36"/>
      <c r="E516" s="36"/>
      <c r="F516" s="36"/>
      <c r="G516" s="36"/>
    </row>
    <row r="517" spans="1:7" ht="14.4" x14ac:dyDescent="0.3">
      <c r="A517" s="20"/>
      <c r="B517" s="36"/>
      <c r="C517" s="36"/>
      <c r="D517" s="36"/>
      <c r="E517" s="36"/>
      <c r="F517" s="36"/>
      <c r="G517" s="36"/>
    </row>
    <row r="518" spans="1:7" ht="14.4" x14ac:dyDescent="0.3">
      <c r="A518" s="20"/>
      <c r="B518" s="36"/>
      <c r="C518" s="36"/>
      <c r="D518" s="36"/>
      <c r="E518" s="36"/>
      <c r="F518" s="36"/>
      <c r="G518" s="36"/>
    </row>
    <row r="519" spans="1:7" ht="14.4" x14ac:dyDescent="0.3">
      <c r="A519" s="20"/>
      <c r="B519" s="36"/>
      <c r="C519" s="36"/>
      <c r="D519" s="36"/>
      <c r="E519" s="36"/>
      <c r="F519" s="36"/>
      <c r="G519" s="36"/>
    </row>
    <row r="520" spans="1:7" ht="14.4" x14ac:dyDescent="0.3">
      <c r="A520" s="20"/>
      <c r="B520" s="36"/>
      <c r="C520" s="36"/>
      <c r="D520" s="36"/>
      <c r="E520" s="36"/>
      <c r="F520" s="36"/>
      <c r="G520" s="36"/>
    </row>
    <row r="521" spans="1:7" ht="14.4" x14ac:dyDescent="0.3">
      <c r="A521" s="20"/>
      <c r="B521" s="36"/>
      <c r="C521" s="36"/>
      <c r="D521" s="36"/>
      <c r="E521" s="36"/>
      <c r="F521" s="36"/>
      <c r="G521" s="36"/>
    </row>
    <row r="522" spans="1:7" ht="14.4" x14ac:dyDescent="0.3">
      <c r="A522" s="20"/>
      <c r="B522" s="36"/>
      <c r="C522" s="36"/>
      <c r="D522" s="36"/>
      <c r="E522" s="36"/>
      <c r="F522" s="36"/>
      <c r="G522" s="36"/>
    </row>
    <row r="523" spans="1:7" ht="14.4" x14ac:dyDescent="0.3">
      <c r="A523" s="20"/>
      <c r="B523" s="36"/>
      <c r="C523" s="36"/>
      <c r="D523" s="36"/>
      <c r="E523" s="36"/>
      <c r="F523" s="36"/>
      <c r="G523" s="36"/>
    </row>
    <row r="524" spans="1:7" ht="14.4" x14ac:dyDescent="0.3">
      <c r="A524" s="20"/>
      <c r="B524" s="36"/>
      <c r="C524" s="36"/>
      <c r="D524" s="36"/>
      <c r="E524" s="36"/>
      <c r="F524" s="36"/>
      <c r="G524" s="36"/>
    </row>
    <row r="525" spans="1:7" ht="14.4" x14ac:dyDescent="0.3">
      <c r="A525" s="20"/>
      <c r="B525" s="36"/>
      <c r="C525" s="36"/>
      <c r="D525" s="36"/>
      <c r="E525" s="36"/>
      <c r="F525" s="36"/>
      <c r="G525" s="36"/>
    </row>
    <row r="526" spans="1:7" ht="14.4" x14ac:dyDescent="0.3">
      <c r="A526" s="20"/>
      <c r="B526" s="36"/>
      <c r="C526" s="36"/>
      <c r="D526" s="36"/>
      <c r="E526" s="36"/>
      <c r="F526" s="36"/>
      <c r="G526" s="36"/>
    </row>
    <row r="527" spans="1:7" ht="14.4" x14ac:dyDescent="0.3">
      <c r="A527" s="20"/>
      <c r="B527" s="36"/>
      <c r="C527" s="36"/>
      <c r="D527" s="36"/>
      <c r="E527" s="36"/>
      <c r="F527" s="36"/>
      <c r="G527" s="36"/>
    </row>
    <row r="528" spans="1:7" ht="14.4" x14ac:dyDescent="0.3">
      <c r="A528" s="20"/>
      <c r="B528" s="36"/>
      <c r="C528" s="36"/>
      <c r="D528" s="36"/>
      <c r="E528" s="36"/>
      <c r="F528" s="36"/>
      <c r="G528" s="36"/>
    </row>
    <row r="529" spans="1:7" ht="14.4" x14ac:dyDescent="0.3">
      <c r="A529" s="20"/>
      <c r="B529" s="36"/>
      <c r="C529" s="36"/>
      <c r="D529" s="36"/>
      <c r="E529" s="36"/>
      <c r="F529" s="36"/>
      <c r="G529" s="36"/>
    </row>
    <row r="530" spans="1:7" ht="14.4" x14ac:dyDescent="0.3">
      <c r="A530" s="20"/>
      <c r="B530" s="36"/>
      <c r="C530" s="36"/>
      <c r="D530" s="36"/>
      <c r="E530" s="36"/>
      <c r="F530" s="36"/>
      <c r="G530" s="36"/>
    </row>
    <row r="531" spans="1:7" ht="14.4" x14ac:dyDescent="0.3">
      <c r="A531" s="20"/>
      <c r="B531" s="36"/>
      <c r="C531" s="36"/>
      <c r="D531" s="36"/>
      <c r="E531" s="36"/>
      <c r="F531" s="36"/>
      <c r="G531" s="36"/>
    </row>
    <row r="532" spans="1:7" ht="14.4" x14ac:dyDescent="0.3">
      <c r="A532" s="20"/>
      <c r="B532" s="36"/>
      <c r="C532" s="36"/>
      <c r="D532" s="36"/>
      <c r="E532" s="36"/>
      <c r="F532" s="36"/>
      <c r="G532" s="36"/>
    </row>
    <row r="533" spans="1:7" ht="14.4" x14ac:dyDescent="0.3">
      <c r="A533" s="20"/>
      <c r="B533" s="36"/>
      <c r="C533" s="36"/>
      <c r="D533" s="36"/>
      <c r="E533" s="36"/>
      <c r="F533" s="36"/>
      <c r="G533" s="36"/>
    </row>
    <row r="534" spans="1:7" ht="14.4" x14ac:dyDescent="0.3">
      <c r="A534" s="20"/>
      <c r="B534" s="36"/>
      <c r="C534" s="36"/>
      <c r="D534" s="36"/>
      <c r="E534" s="36"/>
      <c r="F534" s="36"/>
      <c r="G534" s="36"/>
    </row>
    <row r="535" spans="1:7" ht="14.4" x14ac:dyDescent="0.3">
      <c r="A535" s="20"/>
      <c r="B535" s="36"/>
      <c r="C535" s="36"/>
      <c r="D535" s="36"/>
      <c r="E535" s="36"/>
      <c r="F535" s="36"/>
      <c r="G535" s="36"/>
    </row>
    <row r="536" spans="1:7" ht="14.4" x14ac:dyDescent="0.3">
      <c r="A536" s="20"/>
      <c r="B536" s="36"/>
      <c r="C536" s="36"/>
      <c r="D536" s="36"/>
      <c r="E536" s="36"/>
      <c r="F536" s="36"/>
      <c r="G536" s="36"/>
    </row>
    <row r="537" spans="1:7" ht="14.4" x14ac:dyDescent="0.3">
      <c r="A537" s="20"/>
      <c r="B537" s="36"/>
      <c r="C537" s="36"/>
      <c r="D537" s="36"/>
      <c r="E537" s="36"/>
      <c r="F537" s="36"/>
      <c r="G537" s="36"/>
    </row>
    <row r="538" spans="1:7" ht="14.4" x14ac:dyDescent="0.3">
      <c r="A538" s="20"/>
      <c r="B538" s="36"/>
      <c r="C538" s="36"/>
      <c r="D538" s="36"/>
      <c r="E538" s="36"/>
      <c r="F538" s="36"/>
      <c r="G538" s="36"/>
    </row>
    <row r="539" spans="1:7" ht="14.4" x14ac:dyDescent="0.3">
      <c r="A539" s="20"/>
      <c r="B539" s="36"/>
      <c r="C539" s="36"/>
      <c r="D539" s="36"/>
      <c r="E539" s="36"/>
      <c r="F539" s="36"/>
      <c r="G539" s="36"/>
    </row>
    <row r="540" spans="1:7" ht="14.4" x14ac:dyDescent="0.3">
      <c r="A540" s="20"/>
      <c r="B540" s="36"/>
      <c r="C540" s="36"/>
      <c r="D540" s="36"/>
      <c r="E540" s="36"/>
      <c r="F540" s="36"/>
      <c r="G540" s="36"/>
    </row>
    <row r="541" spans="1:7" ht="14.4" x14ac:dyDescent="0.3">
      <c r="A541" s="20"/>
      <c r="B541" s="36"/>
      <c r="C541" s="36"/>
      <c r="D541" s="36"/>
      <c r="E541" s="36"/>
      <c r="F541" s="36"/>
      <c r="G541" s="36"/>
    </row>
    <row r="542" spans="1:7" ht="14.4" x14ac:dyDescent="0.3">
      <c r="A542" s="20"/>
      <c r="B542" s="36"/>
      <c r="C542" s="36"/>
      <c r="D542" s="36"/>
      <c r="E542" s="36"/>
      <c r="F542" s="36"/>
      <c r="G542" s="36"/>
    </row>
    <row r="543" spans="1:7" ht="14.4" x14ac:dyDescent="0.3">
      <c r="A543" s="20"/>
      <c r="B543" s="36"/>
      <c r="C543" s="36"/>
      <c r="D543" s="36"/>
      <c r="E543" s="36"/>
      <c r="F543" s="36"/>
      <c r="G543" s="36"/>
    </row>
    <row r="544" spans="1:7" ht="14.4" x14ac:dyDescent="0.3">
      <c r="A544" s="20"/>
      <c r="B544" s="36"/>
      <c r="C544" s="36"/>
      <c r="D544" s="36"/>
      <c r="E544" s="36"/>
      <c r="F544" s="36"/>
      <c r="G544" s="36"/>
    </row>
    <row r="545" spans="1:7" ht="14.4" x14ac:dyDescent="0.3">
      <c r="A545" s="20"/>
      <c r="B545" s="36"/>
      <c r="C545" s="36"/>
      <c r="D545" s="36"/>
      <c r="E545" s="36"/>
      <c r="F545" s="36"/>
      <c r="G545" s="36"/>
    </row>
    <row r="546" spans="1:7" ht="14.4" x14ac:dyDescent="0.3">
      <c r="A546" s="20"/>
      <c r="B546" s="36"/>
      <c r="C546" s="36"/>
      <c r="D546" s="36"/>
      <c r="E546" s="36"/>
      <c r="F546" s="36"/>
      <c r="G546" s="36"/>
    </row>
    <row r="547" spans="1:7" ht="14.4" x14ac:dyDescent="0.3">
      <c r="A547" s="20"/>
      <c r="B547" s="36"/>
      <c r="C547" s="36"/>
      <c r="D547" s="36"/>
      <c r="E547" s="36"/>
      <c r="F547" s="36"/>
      <c r="G547" s="36"/>
    </row>
    <row r="548" spans="1:7" ht="14.4" x14ac:dyDescent="0.3">
      <c r="A548" s="20"/>
      <c r="B548" s="36"/>
      <c r="C548" s="36"/>
      <c r="D548" s="36"/>
      <c r="E548" s="36"/>
      <c r="F548" s="36"/>
      <c r="G548" s="36"/>
    </row>
    <row r="549" spans="1:7" ht="14.4" x14ac:dyDescent="0.3">
      <c r="A549" s="20"/>
      <c r="B549" s="36"/>
      <c r="C549" s="36"/>
      <c r="D549" s="36"/>
      <c r="E549" s="36"/>
      <c r="F549" s="36"/>
      <c r="G549" s="36"/>
    </row>
    <row r="550" spans="1:7" ht="14.4" x14ac:dyDescent="0.3">
      <c r="A550" s="20"/>
      <c r="B550" s="36"/>
      <c r="C550" s="36"/>
      <c r="D550" s="36"/>
      <c r="E550" s="36"/>
      <c r="F550" s="36"/>
      <c r="G550" s="36"/>
    </row>
    <row r="551" spans="1:7" ht="14.4" x14ac:dyDescent="0.3">
      <c r="A551" s="20"/>
      <c r="B551" s="36"/>
      <c r="C551" s="36"/>
      <c r="D551" s="36"/>
      <c r="E551" s="36"/>
      <c r="F551" s="36"/>
      <c r="G551" s="36"/>
    </row>
    <row r="552" spans="1:7" ht="14.4" x14ac:dyDescent="0.3">
      <c r="A552" s="20"/>
      <c r="B552" s="36"/>
      <c r="C552" s="36"/>
      <c r="D552" s="36"/>
      <c r="E552" s="36"/>
      <c r="F552" s="36"/>
      <c r="G552" s="36"/>
    </row>
    <row r="553" spans="1:7" ht="14.4" x14ac:dyDescent="0.3">
      <c r="A553" s="20"/>
      <c r="B553" s="36"/>
      <c r="C553" s="36"/>
      <c r="D553" s="36"/>
      <c r="E553" s="36"/>
      <c r="F553" s="36"/>
      <c r="G553" s="36"/>
    </row>
    <row r="554" spans="1:7" ht="14.4" x14ac:dyDescent="0.3">
      <c r="A554" s="20"/>
      <c r="B554" s="36"/>
      <c r="C554" s="36"/>
      <c r="D554" s="36"/>
      <c r="E554" s="36"/>
      <c r="F554" s="36"/>
      <c r="G554" s="36"/>
    </row>
    <row r="555" spans="1:7" ht="14.4" x14ac:dyDescent="0.3">
      <c r="A555" s="20"/>
      <c r="B555" s="36"/>
      <c r="C555" s="36"/>
      <c r="D555" s="36"/>
      <c r="E555" s="36"/>
      <c r="F555" s="36"/>
      <c r="G555" s="36"/>
    </row>
    <row r="556" spans="1:7" ht="14.4" x14ac:dyDescent="0.3">
      <c r="A556" s="20"/>
      <c r="B556" s="36"/>
      <c r="C556" s="36"/>
      <c r="D556" s="36"/>
      <c r="E556" s="36"/>
      <c r="F556" s="36"/>
      <c r="G556" s="36"/>
    </row>
    <row r="557" spans="1:7" ht="14.4" x14ac:dyDescent="0.3">
      <c r="A557" s="20"/>
      <c r="B557" s="36"/>
      <c r="C557" s="36"/>
      <c r="D557" s="36"/>
      <c r="E557" s="36"/>
      <c r="F557" s="36"/>
      <c r="G557" s="36"/>
    </row>
    <row r="558" spans="1:7" ht="14.4" x14ac:dyDescent="0.3">
      <c r="A558" s="20"/>
      <c r="B558" s="36"/>
      <c r="C558" s="36"/>
      <c r="D558" s="36"/>
      <c r="E558" s="36"/>
      <c r="F558" s="36"/>
      <c r="G558" s="36"/>
    </row>
    <row r="559" spans="1:7" ht="14.4" x14ac:dyDescent="0.3">
      <c r="A559" s="20"/>
      <c r="B559" s="36"/>
      <c r="C559" s="36"/>
      <c r="D559" s="36"/>
      <c r="E559" s="36"/>
      <c r="F559" s="36"/>
      <c r="G559" s="36"/>
    </row>
    <row r="560" spans="1:7" ht="14.4" x14ac:dyDescent="0.3">
      <c r="A560" s="20"/>
      <c r="B560" s="36"/>
      <c r="C560" s="36"/>
      <c r="D560" s="36"/>
      <c r="E560" s="36"/>
      <c r="F560" s="36"/>
      <c r="G560" s="36"/>
    </row>
    <row r="561" spans="1:7" ht="14.4" x14ac:dyDescent="0.3">
      <c r="A561" s="20"/>
      <c r="B561" s="36"/>
      <c r="C561" s="36"/>
      <c r="D561" s="36"/>
      <c r="E561" s="36"/>
      <c r="F561" s="36"/>
      <c r="G561" s="36"/>
    </row>
    <row r="562" spans="1:7" ht="14.4" x14ac:dyDescent="0.3">
      <c r="A562" s="20"/>
      <c r="B562" s="36"/>
      <c r="C562" s="36"/>
      <c r="D562" s="36"/>
      <c r="E562" s="36"/>
      <c r="F562" s="36"/>
      <c r="G562" s="36"/>
    </row>
    <row r="563" spans="1:7" ht="14.4" x14ac:dyDescent="0.3">
      <c r="A563" s="20"/>
      <c r="B563" s="36"/>
      <c r="C563" s="36"/>
      <c r="D563" s="36"/>
      <c r="E563" s="36"/>
      <c r="F563" s="36"/>
      <c r="G563" s="36"/>
    </row>
    <row r="564" spans="1:7" ht="14.4" x14ac:dyDescent="0.3">
      <c r="A564" s="20"/>
      <c r="B564" s="36"/>
      <c r="C564" s="36"/>
      <c r="D564" s="36"/>
      <c r="E564" s="36"/>
      <c r="F564" s="36"/>
      <c r="G564" s="36"/>
    </row>
    <row r="565" spans="1:7" ht="14.4" x14ac:dyDescent="0.3">
      <c r="A565" s="20"/>
      <c r="B565" s="36"/>
      <c r="C565" s="36"/>
      <c r="D565" s="36"/>
      <c r="E565" s="36"/>
      <c r="F565" s="36"/>
      <c r="G565" s="36"/>
    </row>
    <row r="566" spans="1:7" ht="14.4" x14ac:dyDescent="0.3">
      <c r="A566" s="20"/>
      <c r="B566" s="36"/>
      <c r="C566" s="36"/>
      <c r="D566" s="36"/>
      <c r="E566" s="36"/>
      <c r="F566" s="36"/>
      <c r="G566" s="36"/>
    </row>
    <row r="567" spans="1:7" ht="14.4" x14ac:dyDescent="0.3">
      <c r="A567" s="20"/>
      <c r="B567" s="36"/>
      <c r="C567" s="36"/>
      <c r="D567" s="36"/>
      <c r="E567" s="36"/>
      <c r="F567" s="36"/>
      <c r="G567" s="36"/>
    </row>
    <row r="568" spans="1:7" ht="14.4" x14ac:dyDescent="0.3">
      <c r="A568" s="20"/>
      <c r="B568" s="36"/>
      <c r="C568" s="36"/>
      <c r="D568" s="36"/>
      <c r="E568" s="36"/>
      <c r="F568" s="36"/>
      <c r="G568" s="36"/>
    </row>
    <row r="569" spans="1:7" ht="14.4" x14ac:dyDescent="0.3">
      <c r="A569" s="20"/>
      <c r="B569" s="36"/>
      <c r="C569" s="36"/>
      <c r="D569" s="36"/>
      <c r="E569" s="36"/>
      <c r="F569" s="36"/>
      <c r="G569" s="36"/>
    </row>
    <row r="570" spans="1:7" ht="14.4" x14ac:dyDescent="0.3">
      <c r="A570" s="20"/>
      <c r="B570" s="36"/>
      <c r="C570" s="36"/>
      <c r="D570" s="36"/>
      <c r="E570" s="36"/>
      <c r="F570" s="36"/>
      <c r="G570" s="36"/>
    </row>
    <row r="571" spans="1:7" ht="14.4" x14ac:dyDescent="0.3">
      <c r="A571" s="20"/>
      <c r="B571" s="36"/>
      <c r="C571" s="36"/>
      <c r="D571" s="36"/>
      <c r="E571" s="36"/>
      <c r="F571" s="36"/>
      <c r="G571" s="36"/>
    </row>
    <row r="572" spans="1:7" ht="14.4" x14ac:dyDescent="0.3">
      <c r="A572" s="20"/>
      <c r="B572" s="36"/>
      <c r="C572" s="36"/>
      <c r="D572" s="36"/>
      <c r="E572" s="36"/>
      <c r="F572" s="36"/>
      <c r="G572" s="36"/>
    </row>
    <row r="573" spans="1:7" ht="14.4" x14ac:dyDescent="0.3">
      <c r="A573" s="20"/>
      <c r="B573" s="36"/>
      <c r="C573" s="36"/>
      <c r="D573" s="36"/>
      <c r="E573" s="36"/>
      <c r="F573" s="36"/>
      <c r="G573" s="36"/>
    </row>
    <row r="574" spans="1:7" ht="14.4" x14ac:dyDescent="0.3">
      <c r="A574" s="20"/>
      <c r="B574" s="36"/>
      <c r="C574" s="36"/>
      <c r="D574" s="36"/>
      <c r="E574" s="36"/>
      <c r="F574" s="36"/>
      <c r="G574" s="36"/>
    </row>
    <row r="575" spans="1:7" ht="14.4" x14ac:dyDescent="0.3">
      <c r="A575" s="20"/>
      <c r="B575" s="36"/>
      <c r="C575" s="36"/>
      <c r="D575" s="36"/>
      <c r="E575" s="36"/>
      <c r="F575" s="36"/>
      <c r="G575" s="36"/>
    </row>
    <row r="576" spans="1:7" ht="14.4" x14ac:dyDescent="0.3">
      <c r="A576" s="20"/>
      <c r="B576" s="36"/>
      <c r="C576" s="36"/>
      <c r="D576" s="36"/>
      <c r="E576" s="36"/>
      <c r="F576" s="36"/>
      <c r="G576" s="36"/>
    </row>
    <row r="577" spans="1:7" ht="14.4" x14ac:dyDescent="0.3">
      <c r="A577" s="20"/>
      <c r="B577" s="36"/>
      <c r="C577" s="36"/>
      <c r="D577" s="36"/>
      <c r="E577" s="36"/>
      <c r="F577" s="36"/>
      <c r="G577" s="36"/>
    </row>
    <row r="578" spans="1:7" ht="14.4" x14ac:dyDescent="0.3">
      <c r="A578" s="20"/>
      <c r="B578" s="36"/>
      <c r="C578" s="36"/>
      <c r="D578" s="36"/>
      <c r="E578" s="36"/>
      <c r="F578" s="36"/>
      <c r="G578" s="36"/>
    </row>
    <row r="579" spans="1:7" ht="14.4" x14ac:dyDescent="0.3">
      <c r="A579" s="20"/>
      <c r="B579" s="36"/>
      <c r="C579" s="36"/>
      <c r="D579" s="36"/>
      <c r="E579" s="36"/>
      <c r="F579" s="36"/>
      <c r="G579" s="36"/>
    </row>
    <row r="580" spans="1:7" ht="14.4" x14ac:dyDescent="0.3">
      <c r="A580" s="20"/>
      <c r="B580" s="36"/>
      <c r="C580" s="36"/>
      <c r="D580" s="36"/>
      <c r="E580" s="36"/>
      <c r="F580" s="36"/>
      <c r="G580" s="36"/>
    </row>
    <row r="581" spans="1:7" ht="14.4" x14ac:dyDescent="0.3">
      <c r="A581" s="20"/>
      <c r="B581" s="36"/>
      <c r="C581" s="36"/>
      <c r="D581" s="36"/>
      <c r="E581" s="36"/>
      <c r="F581" s="36"/>
      <c r="G581" s="36"/>
    </row>
    <row r="582" spans="1:7" ht="14.4" x14ac:dyDescent="0.3">
      <c r="A582" s="20"/>
      <c r="B582" s="36"/>
      <c r="C582" s="36"/>
      <c r="D582" s="36"/>
      <c r="E582" s="36"/>
      <c r="F582" s="36"/>
      <c r="G582" s="36"/>
    </row>
    <row r="583" spans="1:7" ht="14.4" x14ac:dyDescent="0.3">
      <c r="A583" s="20"/>
      <c r="B583" s="36"/>
      <c r="C583" s="36"/>
      <c r="D583" s="36"/>
      <c r="E583" s="36"/>
      <c r="F583" s="36"/>
      <c r="G583" s="36"/>
    </row>
    <row r="584" spans="1:7" ht="14.4" x14ac:dyDescent="0.3">
      <c r="A584" s="20"/>
      <c r="B584" s="36"/>
      <c r="C584" s="36"/>
      <c r="D584" s="36"/>
      <c r="E584" s="36"/>
      <c r="F584" s="36"/>
      <c r="G584" s="36"/>
    </row>
    <row r="585" spans="1:7" ht="14.4" x14ac:dyDescent="0.3">
      <c r="A585" s="20"/>
      <c r="B585" s="36"/>
      <c r="C585" s="36"/>
      <c r="D585" s="36"/>
      <c r="E585" s="36"/>
      <c r="F585" s="36"/>
      <c r="G585" s="36"/>
    </row>
    <row r="586" spans="1:7" ht="14.4" x14ac:dyDescent="0.3">
      <c r="A586" s="20"/>
      <c r="B586" s="36"/>
      <c r="C586" s="36"/>
      <c r="D586" s="36"/>
      <c r="E586" s="36"/>
      <c r="F586" s="36"/>
      <c r="G586" s="36"/>
    </row>
    <row r="587" spans="1:7" ht="14.4" x14ac:dyDescent="0.3">
      <c r="A587" s="20"/>
      <c r="B587" s="36"/>
      <c r="C587" s="36"/>
      <c r="D587" s="36"/>
      <c r="E587" s="36"/>
      <c r="F587" s="36"/>
      <c r="G587" s="36"/>
    </row>
    <row r="588" spans="1:7" ht="14.4" x14ac:dyDescent="0.3">
      <c r="A588" s="20"/>
      <c r="B588" s="36"/>
      <c r="C588" s="36"/>
      <c r="D588" s="36"/>
      <c r="E588" s="36"/>
      <c r="F588" s="36"/>
      <c r="G588" s="36"/>
    </row>
    <row r="589" spans="1:7" ht="14.4" x14ac:dyDescent="0.3">
      <c r="A589" s="20"/>
      <c r="B589" s="36"/>
      <c r="C589" s="36"/>
      <c r="D589" s="36"/>
      <c r="E589" s="36"/>
      <c r="F589" s="36"/>
      <c r="G589" s="36"/>
    </row>
    <row r="590" spans="1:7" ht="14.4" x14ac:dyDescent="0.3">
      <c r="A590" s="20"/>
      <c r="B590" s="36"/>
      <c r="C590" s="36"/>
      <c r="D590" s="36"/>
      <c r="E590" s="36"/>
      <c r="F590" s="36"/>
      <c r="G590" s="36"/>
    </row>
    <row r="591" spans="1:7" ht="14.4" x14ac:dyDescent="0.3">
      <c r="A591" s="20"/>
      <c r="B591" s="36"/>
      <c r="C591" s="36"/>
      <c r="D591" s="36"/>
      <c r="E591" s="36"/>
      <c r="F591" s="36"/>
      <c r="G591" s="36"/>
    </row>
    <row r="592" spans="1:7" ht="14.4" x14ac:dyDescent="0.3">
      <c r="A592" s="20"/>
      <c r="B592" s="36"/>
      <c r="C592" s="36"/>
      <c r="D592" s="36"/>
      <c r="E592" s="36"/>
      <c r="F592" s="36"/>
      <c r="G592" s="36"/>
    </row>
    <row r="593" spans="1:7" ht="14.4" x14ac:dyDescent="0.3">
      <c r="A593" s="20"/>
      <c r="B593" s="36"/>
      <c r="C593" s="36"/>
      <c r="D593" s="36"/>
      <c r="E593" s="36"/>
      <c r="F593" s="36"/>
      <c r="G593" s="36"/>
    </row>
    <row r="594" spans="1:7" ht="14.4" x14ac:dyDescent="0.3">
      <c r="A594" s="20"/>
      <c r="B594" s="36"/>
      <c r="C594" s="36"/>
      <c r="D594" s="36"/>
      <c r="E594" s="36"/>
      <c r="F594" s="36"/>
      <c r="G594" s="36"/>
    </row>
    <row r="595" spans="1:7" ht="14.4" x14ac:dyDescent="0.3">
      <c r="A595" s="20"/>
      <c r="B595" s="36"/>
      <c r="C595" s="36"/>
      <c r="D595" s="36"/>
      <c r="E595" s="36"/>
      <c r="F595" s="36"/>
      <c r="G595" s="36"/>
    </row>
    <row r="596" spans="1:7" ht="14.4" x14ac:dyDescent="0.3">
      <c r="A596" s="20"/>
      <c r="B596" s="36"/>
      <c r="C596" s="36"/>
      <c r="D596" s="36"/>
      <c r="E596" s="36"/>
      <c r="F596" s="36"/>
      <c r="G596" s="36"/>
    </row>
    <row r="597" spans="1:7" ht="14.4" x14ac:dyDescent="0.3">
      <c r="A597" s="20"/>
      <c r="B597" s="36"/>
      <c r="C597" s="36"/>
      <c r="D597" s="36"/>
      <c r="E597" s="36"/>
      <c r="F597" s="36"/>
      <c r="G597" s="36"/>
    </row>
    <row r="598" spans="1:7" ht="14.4" x14ac:dyDescent="0.3">
      <c r="A598" s="20"/>
      <c r="B598" s="36"/>
      <c r="C598" s="36"/>
      <c r="D598" s="36"/>
      <c r="E598" s="36"/>
      <c r="F598" s="36"/>
      <c r="G598" s="36"/>
    </row>
    <row r="599" spans="1:7" ht="14.4" x14ac:dyDescent="0.3">
      <c r="A599" s="20"/>
      <c r="B599" s="36"/>
      <c r="C599" s="36"/>
      <c r="D599" s="36"/>
      <c r="E599" s="36"/>
      <c r="F599" s="36"/>
      <c r="G599" s="36"/>
    </row>
    <row r="600" spans="1:7" ht="14.4" x14ac:dyDescent="0.3">
      <c r="A600" s="20"/>
      <c r="B600" s="36"/>
      <c r="C600" s="36"/>
      <c r="D600" s="36"/>
      <c r="E600" s="36"/>
      <c r="F600" s="36"/>
      <c r="G600" s="36"/>
    </row>
    <row r="601" spans="1:7" ht="14.4" x14ac:dyDescent="0.3">
      <c r="A601" s="20"/>
      <c r="B601" s="36"/>
      <c r="C601" s="36"/>
      <c r="D601" s="36"/>
      <c r="E601" s="36"/>
      <c r="F601" s="36"/>
      <c r="G601" s="36"/>
    </row>
    <row r="602" spans="1:7" ht="14.4" x14ac:dyDescent="0.3">
      <c r="A602" s="20"/>
      <c r="B602" s="36"/>
      <c r="C602" s="36"/>
      <c r="D602" s="36"/>
      <c r="E602" s="36"/>
      <c r="F602" s="36"/>
      <c r="G602" s="36"/>
    </row>
    <row r="603" spans="1:7" ht="14.4" x14ac:dyDescent="0.3">
      <c r="A603" s="20"/>
      <c r="B603" s="36"/>
      <c r="C603" s="36"/>
      <c r="D603" s="36"/>
      <c r="E603" s="36"/>
      <c r="F603" s="36"/>
      <c r="G603" s="36"/>
    </row>
    <row r="604" spans="1:7" ht="14.4" x14ac:dyDescent="0.3">
      <c r="A604" s="20"/>
      <c r="B604" s="36"/>
      <c r="C604" s="36"/>
      <c r="D604" s="36"/>
      <c r="E604" s="36"/>
      <c r="F604" s="36"/>
      <c r="G604" s="36"/>
    </row>
    <row r="605" spans="1:7" ht="14.4" x14ac:dyDescent="0.3">
      <c r="A605" s="20"/>
      <c r="B605" s="36"/>
      <c r="C605" s="36"/>
      <c r="D605" s="36"/>
      <c r="E605" s="36"/>
      <c r="F605" s="36"/>
      <c r="G605" s="36"/>
    </row>
    <row r="606" spans="1:7" ht="14.4" x14ac:dyDescent="0.3">
      <c r="A606" s="20"/>
      <c r="B606" s="36"/>
      <c r="C606" s="36"/>
      <c r="D606" s="36"/>
      <c r="E606" s="36"/>
      <c r="F606" s="36"/>
      <c r="G606" s="36"/>
    </row>
    <row r="607" spans="1:7" ht="14.4" x14ac:dyDescent="0.3">
      <c r="A607" s="20"/>
      <c r="B607" s="36"/>
      <c r="C607" s="36"/>
      <c r="D607" s="36"/>
      <c r="E607" s="36"/>
      <c r="F607" s="36"/>
      <c r="G607" s="36"/>
    </row>
    <row r="608" spans="1:7" ht="14.4" x14ac:dyDescent="0.3">
      <c r="A608" s="20"/>
      <c r="B608" s="36"/>
      <c r="C608" s="36"/>
      <c r="D608" s="36"/>
      <c r="E608" s="36"/>
      <c r="F608" s="36"/>
      <c r="G608" s="36"/>
    </row>
    <row r="609" spans="1:7" ht="14.4" x14ac:dyDescent="0.3">
      <c r="A609" s="20"/>
      <c r="B609" s="36"/>
      <c r="C609" s="36"/>
      <c r="D609" s="36"/>
      <c r="E609" s="36"/>
      <c r="F609" s="36"/>
      <c r="G609" s="36"/>
    </row>
    <row r="610" spans="1:7" ht="14.4" x14ac:dyDescent="0.3">
      <c r="A610" s="20"/>
      <c r="B610" s="36"/>
      <c r="C610" s="36"/>
      <c r="D610" s="36"/>
      <c r="E610" s="36"/>
      <c r="F610" s="36"/>
      <c r="G610" s="36"/>
    </row>
    <row r="611" spans="1:7" ht="14.4" x14ac:dyDescent="0.3">
      <c r="A611" s="20"/>
      <c r="B611" s="36"/>
      <c r="C611" s="36"/>
      <c r="D611" s="36"/>
      <c r="E611" s="36"/>
      <c r="F611" s="36"/>
      <c r="G611" s="36"/>
    </row>
    <row r="612" spans="1:7" ht="14.4" x14ac:dyDescent="0.3">
      <c r="A612" s="20"/>
      <c r="B612" s="36"/>
      <c r="C612" s="36"/>
      <c r="D612" s="36"/>
      <c r="E612" s="36"/>
      <c r="F612" s="36"/>
      <c r="G612" s="36"/>
    </row>
    <row r="613" spans="1:7" ht="14.4" x14ac:dyDescent="0.3">
      <c r="A613" s="20"/>
      <c r="B613" s="36"/>
      <c r="C613" s="36"/>
      <c r="D613" s="36"/>
      <c r="E613" s="36"/>
      <c r="F613" s="36"/>
      <c r="G613" s="36"/>
    </row>
    <row r="614" spans="1:7" ht="14.4" x14ac:dyDescent="0.3">
      <c r="A614" s="20"/>
      <c r="B614" s="36"/>
      <c r="C614" s="36"/>
      <c r="D614" s="36"/>
      <c r="E614" s="36"/>
      <c r="F614" s="36"/>
      <c r="G614" s="36"/>
    </row>
    <row r="615" spans="1:7" ht="14.4" x14ac:dyDescent="0.3">
      <c r="A615" s="20"/>
      <c r="B615" s="36"/>
      <c r="C615" s="36"/>
      <c r="D615" s="36"/>
      <c r="E615" s="36"/>
      <c r="F615" s="36"/>
      <c r="G615" s="36"/>
    </row>
    <row r="616" spans="1:7" ht="14.4" x14ac:dyDescent="0.3">
      <c r="A616" s="20"/>
      <c r="B616" s="36"/>
      <c r="C616" s="36"/>
      <c r="D616" s="36"/>
      <c r="E616" s="36"/>
      <c r="F616" s="36"/>
      <c r="G616" s="36"/>
    </row>
    <row r="617" spans="1:7" ht="14.4" x14ac:dyDescent="0.3">
      <c r="A617" s="20"/>
      <c r="B617" s="36"/>
      <c r="C617" s="36"/>
      <c r="D617" s="36"/>
      <c r="E617" s="36"/>
      <c r="F617" s="36"/>
      <c r="G617" s="36"/>
    </row>
    <row r="618" spans="1:7" ht="14.4" x14ac:dyDescent="0.3">
      <c r="A618" s="20"/>
      <c r="B618" s="36"/>
      <c r="C618" s="36"/>
      <c r="D618" s="36"/>
      <c r="E618" s="36"/>
      <c r="F618" s="36"/>
      <c r="G618" s="36"/>
    </row>
    <row r="619" spans="1:7" ht="14.4" x14ac:dyDescent="0.3">
      <c r="A619" s="20"/>
      <c r="B619" s="36"/>
      <c r="C619" s="36"/>
      <c r="D619" s="36"/>
      <c r="E619" s="36"/>
      <c r="F619" s="36"/>
      <c r="G619" s="36"/>
    </row>
    <row r="620" spans="1:7" ht="14.4" x14ac:dyDescent="0.3">
      <c r="A620" s="20"/>
      <c r="B620" s="36"/>
      <c r="C620" s="36"/>
      <c r="D620" s="36"/>
      <c r="E620" s="36"/>
      <c r="F620" s="36"/>
      <c r="G620" s="36"/>
    </row>
    <row r="621" spans="1:7" ht="14.4" x14ac:dyDescent="0.3">
      <c r="A621" s="20"/>
      <c r="B621" s="36"/>
      <c r="C621" s="36"/>
      <c r="D621" s="36"/>
      <c r="E621" s="36"/>
      <c r="F621" s="36"/>
      <c r="G621" s="36"/>
    </row>
    <row r="622" spans="1:7" ht="14.4" x14ac:dyDescent="0.3">
      <c r="A622" s="20"/>
      <c r="B622" s="36"/>
      <c r="C622" s="36"/>
      <c r="D622" s="36"/>
      <c r="E622" s="36"/>
      <c r="F622" s="36"/>
      <c r="G622" s="36"/>
    </row>
    <row r="623" spans="1:7" ht="14.4" x14ac:dyDescent="0.3">
      <c r="A623" s="20"/>
      <c r="B623" s="36"/>
      <c r="C623" s="36"/>
      <c r="D623" s="36"/>
      <c r="E623" s="36"/>
      <c r="F623" s="36"/>
      <c r="G623" s="36"/>
    </row>
    <row r="624" spans="1:7" ht="14.4" x14ac:dyDescent="0.3">
      <c r="A624" s="20"/>
      <c r="B624" s="36"/>
      <c r="C624" s="36"/>
      <c r="D624" s="36"/>
      <c r="E624" s="36"/>
      <c r="F624" s="36"/>
      <c r="G624" s="36"/>
    </row>
    <row r="625" spans="1:7" ht="14.4" x14ac:dyDescent="0.3">
      <c r="A625" s="20"/>
      <c r="B625" s="36"/>
      <c r="C625" s="36"/>
      <c r="D625" s="36"/>
      <c r="E625" s="36"/>
      <c r="F625" s="36"/>
      <c r="G625" s="36"/>
    </row>
    <row r="626" spans="1:7" ht="14.4" x14ac:dyDescent="0.3">
      <c r="A626" s="20"/>
      <c r="B626" s="36"/>
      <c r="C626" s="36"/>
      <c r="D626" s="36"/>
      <c r="E626" s="36"/>
      <c r="F626" s="36"/>
      <c r="G626" s="36"/>
    </row>
    <row r="627" spans="1:7" ht="14.4" x14ac:dyDescent="0.3">
      <c r="A627" s="20"/>
      <c r="B627" s="36"/>
      <c r="C627" s="36"/>
      <c r="D627" s="36"/>
      <c r="E627" s="36"/>
      <c r="F627" s="36"/>
      <c r="G627" s="36"/>
    </row>
    <row r="628" spans="1:7" ht="14.4" x14ac:dyDescent="0.3">
      <c r="A628" s="20"/>
      <c r="B628" s="36"/>
      <c r="C628" s="36"/>
      <c r="D628" s="36"/>
      <c r="E628" s="36"/>
      <c r="F628" s="36"/>
      <c r="G628" s="36"/>
    </row>
    <row r="629" spans="1:7" ht="14.4" x14ac:dyDescent="0.3">
      <c r="A629" s="20"/>
      <c r="B629" s="36"/>
      <c r="C629" s="36"/>
      <c r="D629" s="36"/>
      <c r="E629" s="36"/>
      <c r="F629" s="36"/>
      <c r="G629" s="36"/>
    </row>
    <row r="630" spans="1:7" ht="14.4" x14ac:dyDescent="0.3">
      <c r="A630" s="20"/>
      <c r="B630" s="36"/>
      <c r="C630" s="36"/>
      <c r="D630" s="36"/>
      <c r="E630" s="36"/>
      <c r="F630" s="36"/>
      <c r="G630" s="36"/>
    </row>
    <row r="631" spans="1:7" ht="14.4" x14ac:dyDescent="0.3">
      <c r="A631" s="20"/>
      <c r="B631" s="36"/>
      <c r="C631" s="36"/>
      <c r="D631" s="36"/>
      <c r="E631" s="36"/>
      <c r="F631" s="36"/>
      <c r="G631" s="36"/>
    </row>
    <row r="632" spans="1:7" ht="14.4" x14ac:dyDescent="0.3">
      <c r="A632" s="20"/>
      <c r="B632" s="36"/>
      <c r="C632" s="36"/>
      <c r="D632" s="36"/>
      <c r="E632" s="36"/>
      <c r="F632" s="36"/>
      <c r="G632" s="36"/>
    </row>
    <row r="633" spans="1:7" ht="14.4" x14ac:dyDescent="0.3">
      <c r="A633" s="20"/>
      <c r="B633" s="36"/>
      <c r="C633" s="36"/>
      <c r="D633" s="36"/>
      <c r="E633" s="36"/>
      <c r="F633" s="36"/>
      <c r="G633" s="36"/>
    </row>
    <row r="634" spans="1:7" ht="14.4" x14ac:dyDescent="0.3">
      <c r="A634" s="20"/>
      <c r="B634" s="36"/>
      <c r="C634" s="36"/>
      <c r="D634" s="36"/>
      <c r="E634" s="36"/>
      <c r="F634" s="36"/>
      <c r="G634" s="36"/>
    </row>
    <row r="635" spans="1:7" ht="14.4" x14ac:dyDescent="0.3">
      <c r="A635" s="20"/>
      <c r="B635" s="36"/>
      <c r="C635" s="36"/>
      <c r="D635" s="36"/>
      <c r="E635" s="36"/>
      <c r="F635" s="36"/>
      <c r="G635" s="36"/>
    </row>
    <row r="636" spans="1:7" ht="14.4" x14ac:dyDescent="0.3">
      <c r="A636" s="20"/>
      <c r="B636" s="36"/>
      <c r="C636" s="36"/>
      <c r="D636" s="36"/>
      <c r="E636" s="36"/>
      <c r="F636" s="36"/>
      <c r="G636" s="36"/>
    </row>
    <row r="637" spans="1:7" ht="14.4" x14ac:dyDescent="0.3">
      <c r="A637" s="20"/>
      <c r="B637" s="36"/>
      <c r="C637" s="36"/>
      <c r="D637" s="36"/>
      <c r="E637" s="36"/>
      <c r="F637" s="36"/>
      <c r="G637" s="36"/>
    </row>
    <row r="638" spans="1:7" ht="14.4" x14ac:dyDescent="0.3">
      <c r="A638" s="20"/>
      <c r="B638" s="36"/>
      <c r="C638" s="36"/>
      <c r="D638" s="36"/>
      <c r="E638" s="36"/>
      <c r="F638" s="36"/>
      <c r="G638" s="36"/>
    </row>
    <row r="639" spans="1:7" ht="14.4" x14ac:dyDescent="0.3">
      <c r="A639" s="20"/>
      <c r="B639" s="36"/>
      <c r="C639" s="36"/>
      <c r="D639" s="36"/>
      <c r="E639" s="36"/>
      <c r="F639" s="36"/>
      <c r="G639" s="36"/>
    </row>
    <row r="640" spans="1:7" ht="14.4" x14ac:dyDescent="0.3">
      <c r="A640" s="20"/>
      <c r="B640" s="36"/>
      <c r="C640" s="36"/>
      <c r="D640" s="36"/>
      <c r="E640" s="36"/>
      <c r="F640" s="36"/>
      <c r="G640" s="36"/>
    </row>
    <row r="641" spans="1:7" ht="14.4" x14ac:dyDescent="0.3">
      <c r="A641" s="20"/>
      <c r="B641" s="36"/>
      <c r="C641" s="36"/>
      <c r="D641" s="36"/>
      <c r="E641" s="36"/>
      <c r="F641" s="36"/>
      <c r="G641" s="36"/>
    </row>
    <row r="642" spans="1:7" ht="14.4" x14ac:dyDescent="0.3">
      <c r="A642" s="20"/>
      <c r="B642" s="36"/>
      <c r="C642" s="36"/>
      <c r="D642" s="36"/>
      <c r="E642" s="36"/>
      <c r="F642" s="36"/>
      <c r="G642" s="36"/>
    </row>
    <row r="643" spans="1:7" ht="14.4" x14ac:dyDescent="0.3">
      <c r="A643" s="20"/>
      <c r="B643" s="36"/>
      <c r="C643" s="36"/>
      <c r="D643" s="36"/>
      <c r="E643" s="36"/>
      <c r="F643" s="36"/>
      <c r="G643" s="36"/>
    </row>
    <row r="644" spans="1:7" ht="14.4" x14ac:dyDescent="0.3">
      <c r="A644" s="20"/>
      <c r="B644" s="36"/>
      <c r="C644" s="36"/>
      <c r="D644" s="36"/>
      <c r="E644" s="36"/>
      <c r="F644" s="36"/>
      <c r="G644" s="36"/>
    </row>
    <row r="645" spans="1:7" ht="14.4" x14ac:dyDescent="0.3">
      <c r="A645" s="20"/>
      <c r="B645" s="36"/>
      <c r="C645" s="36"/>
      <c r="D645" s="36"/>
      <c r="E645" s="36"/>
      <c r="F645" s="36"/>
      <c r="G645" s="36"/>
    </row>
    <row r="646" spans="1:7" ht="14.4" x14ac:dyDescent="0.3">
      <c r="A646" s="20"/>
      <c r="B646" s="36"/>
      <c r="C646" s="36"/>
      <c r="D646" s="36"/>
      <c r="E646" s="36"/>
      <c r="F646" s="36"/>
      <c r="G646" s="36"/>
    </row>
    <row r="647" spans="1:7" ht="14.4" x14ac:dyDescent="0.3">
      <c r="A647" s="20"/>
      <c r="B647" s="36"/>
      <c r="C647" s="36"/>
      <c r="D647" s="36"/>
      <c r="E647" s="36"/>
      <c r="F647" s="36"/>
      <c r="G647" s="36"/>
    </row>
    <row r="648" spans="1:7" ht="14.4" x14ac:dyDescent="0.3">
      <c r="A648" s="20"/>
      <c r="B648" s="36"/>
      <c r="C648" s="36"/>
      <c r="D648" s="36"/>
      <c r="E648" s="36"/>
      <c r="F648" s="36"/>
      <c r="G648" s="36"/>
    </row>
    <row r="649" spans="1:7" ht="14.4" x14ac:dyDescent="0.3">
      <c r="A649" s="20"/>
      <c r="B649" s="36"/>
      <c r="C649" s="36"/>
      <c r="D649" s="36"/>
      <c r="E649" s="36"/>
      <c r="F649" s="36"/>
      <c r="G649" s="36"/>
    </row>
    <row r="650" spans="1:7" ht="14.4" x14ac:dyDescent="0.3">
      <c r="A650" s="20"/>
      <c r="B650" s="36"/>
      <c r="C650" s="36"/>
      <c r="D650" s="36"/>
      <c r="E650" s="36"/>
      <c r="F650" s="36"/>
      <c r="G650" s="36"/>
    </row>
    <row r="651" spans="1:7" ht="14.4" x14ac:dyDescent="0.3">
      <c r="A651" s="20"/>
      <c r="B651" s="36"/>
      <c r="C651" s="36"/>
      <c r="D651" s="36"/>
      <c r="E651" s="36"/>
      <c r="F651" s="36"/>
      <c r="G651" s="36"/>
    </row>
    <row r="652" spans="1:7" ht="14.4" x14ac:dyDescent="0.3">
      <c r="A652" s="20"/>
      <c r="B652" s="36"/>
      <c r="C652" s="36"/>
      <c r="D652" s="36"/>
      <c r="E652" s="36"/>
      <c r="F652" s="36"/>
      <c r="G652" s="36"/>
    </row>
    <row r="653" spans="1:7" ht="14.4" x14ac:dyDescent="0.3">
      <c r="A653" s="20"/>
      <c r="B653" s="36"/>
      <c r="C653" s="36"/>
      <c r="D653" s="36"/>
      <c r="E653" s="36"/>
      <c r="F653" s="36"/>
      <c r="G653" s="36"/>
    </row>
    <row r="654" spans="1:7" ht="14.4" x14ac:dyDescent="0.3">
      <c r="A654" s="20"/>
      <c r="B654" s="36"/>
      <c r="C654" s="36"/>
      <c r="D654" s="36"/>
      <c r="E654" s="36"/>
      <c r="F654" s="36"/>
      <c r="G654" s="36"/>
    </row>
    <row r="655" spans="1:7" ht="14.4" x14ac:dyDescent="0.3">
      <c r="A655" s="20"/>
      <c r="B655" s="36"/>
      <c r="C655" s="36"/>
      <c r="D655" s="36"/>
      <c r="E655" s="36"/>
      <c r="F655" s="36"/>
      <c r="G655" s="36"/>
    </row>
    <row r="656" spans="1:7" ht="14.4" x14ac:dyDescent="0.3">
      <c r="A656" s="20"/>
      <c r="B656" s="36"/>
      <c r="C656" s="36"/>
      <c r="D656" s="36"/>
      <c r="E656" s="36"/>
      <c r="F656" s="36"/>
      <c r="G656" s="36"/>
    </row>
    <row r="657" spans="1:7" ht="14.4" x14ac:dyDescent="0.3">
      <c r="A657" s="20"/>
      <c r="B657" s="36"/>
      <c r="C657" s="36"/>
      <c r="D657" s="36"/>
      <c r="E657" s="36"/>
      <c r="F657" s="36"/>
      <c r="G657" s="36"/>
    </row>
    <row r="658" spans="1:7" ht="14.4" x14ac:dyDescent="0.3">
      <c r="A658" s="20"/>
      <c r="B658" s="36"/>
      <c r="C658" s="36"/>
      <c r="D658" s="36"/>
      <c r="E658" s="36"/>
      <c r="F658" s="36"/>
      <c r="G658" s="36"/>
    </row>
    <row r="659" spans="1:7" ht="14.4" x14ac:dyDescent="0.3">
      <c r="A659" s="20"/>
      <c r="B659" s="36"/>
      <c r="C659" s="36"/>
      <c r="D659" s="36"/>
      <c r="E659" s="36"/>
      <c r="F659" s="36"/>
      <c r="G659" s="36"/>
    </row>
    <row r="660" spans="1:7" ht="14.4" x14ac:dyDescent="0.3">
      <c r="A660" s="20"/>
      <c r="B660" s="36"/>
      <c r="C660" s="36"/>
      <c r="D660" s="36"/>
      <c r="E660" s="36"/>
      <c r="F660" s="36"/>
      <c r="G660" s="36"/>
    </row>
    <row r="661" spans="1:7" ht="14.4" x14ac:dyDescent="0.3">
      <c r="A661" s="20"/>
      <c r="B661" s="36"/>
      <c r="C661" s="36"/>
      <c r="D661" s="36"/>
      <c r="E661" s="36"/>
      <c r="F661" s="36"/>
      <c r="G661" s="36"/>
    </row>
    <row r="662" spans="1:7" ht="14.4" x14ac:dyDescent="0.3">
      <c r="A662" s="20"/>
      <c r="B662" s="36"/>
      <c r="C662" s="36"/>
      <c r="D662" s="36"/>
      <c r="E662" s="36"/>
      <c r="F662" s="36"/>
      <c r="G662" s="36"/>
    </row>
    <row r="663" spans="1:7" ht="14.4" x14ac:dyDescent="0.3">
      <c r="A663" s="20"/>
      <c r="B663" s="36"/>
      <c r="C663" s="36"/>
      <c r="D663" s="36"/>
      <c r="E663" s="36"/>
      <c r="F663" s="36"/>
      <c r="G663" s="36"/>
    </row>
    <row r="664" spans="1:7" ht="14.4" x14ac:dyDescent="0.3">
      <c r="A664" s="20"/>
      <c r="B664" s="36"/>
      <c r="C664" s="36"/>
      <c r="D664" s="36"/>
      <c r="E664" s="36"/>
      <c r="F664" s="36"/>
      <c r="G664" s="36"/>
    </row>
    <row r="665" spans="1:7" ht="14.4" x14ac:dyDescent="0.3">
      <c r="A665" s="20"/>
      <c r="B665" s="36"/>
      <c r="C665" s="36"/>
      <c r="D665" s="36"/>
      <c r="E665" s="36"/>
      <c r="F665" s="36"/>
      <c r="G665" s="36"/>
    </row>
    <row r="666" spans="1:7" ht="14.4" x14ac:dyDescent="0.3">
      <c r="A666" s="20"/>
      <c r="B666" s="36"/>
      <c r="C666" s="36"/>
      <c r="D666" s="36"/>
      <c r="E666" s="36"/>
      <c r="F666" s="36"/>
      <c r="G666" s="36"/>
    </row>
    <row r="667" spans="1:7" ht="14.4" x14ac:dyDescent="0.3">
      <c r="A667" s="20"/>
      <c r="B667" s="36"/>
      <c r="C667" s="36"/>
      <c r="D667" s="36"/>
      <c r="E667" s="36"/>
      <c r="F667" s="36"/>
      <c r="G667" s="36"/>
    </row>
    <row r="668" spans="1:7" ht="14.4" x14ac:dyDescent="0.3">
      <c r="A668" s="20"/>
      <c r="B668" s="36"/>
      <c r="C668" s="36"/>
      <c r="D668" s="36"/>
      <c r="E668" s="36"/>
      <c r="F668" s="36"/>
      <c r="G668" s="36"/>
    </row>
    <row r="669" spans="1:7" ht="14.4" x14ac:dyDescent="0.3">
      <c r="A669" s="20"/>
      <c r="B669" s="36"/>
      <c r="C669" s="36"/>
      <c r="D669" s="36"/>
      <c r="E669" s="36"/>
      <c r="F669" s="36"/>
      <c r="G669" s="36"/>
    </row>
    <row r="670" spans="1:7" ht="14.4" x14ac:dyDescent="0.3">
      <c r="A670" s="20"/>
      <c r="B670" s="36"/>
      <c r="C670" s="36"/>
      <c r="D670" s="36"/>
      <c r="E670" s="36"/>
      <c r="F670" s="36"/>
      <c r="G670" s="36"/>
    </row>
    <row r="671" spans="1:7" ht="14.4" x14ac:dyDescent="0.3">
      <c r="A671" s="20"/>
      <c r="B671" s="36"/>
      <c r="C671" s="36"/>
      <c r="D671" s="36"/>
      <c r="E671" s="36"/>
      <c r="F671" s="36"/>
      <c r="G671" s="36"/>
    </row>
    <row r="672" spans="1:7" ht="14.4" x14ac:dyDescent="0.3">
      <c r="A672" s="20"/>
      <c r="B672" s="36"/>
      <c r="C672" s="36"/>
      <c r="D672" s="36"/>
      <c r="E672" s="36"/>
      <c r="F672" s="36"/>
      <c r="G672" s="36"/>
    </row>
    <row r="673" spans="1:7" ht="14.4" x14ac:dyDescent="0.3">
      <c r="A673" s="20"/>
      <c r="B673" s="36"/>
      <c r="C673" s="36"/>
      <c r="D673" s="36"/>
      <c r="E673" s="36"/>
      <c r="F673" s="36"/>
      <c r="G673" s="36"/>
    </row>
    <row r="674" spans="1:7" ht="14.4" x14ac:dyDescent="0.3">
      <c r="A674" s="20"/>
      <c r="B674" s="36"/>
      <c r="C674" s="36"/>
      <c r="D674" s="36"/>
      <c r="E674" s="36"/>
      <c r="F674" s="36"/>
      <c r="G674" s="36"/>
    </row>
    <row r="675" spans="1:7" ht="14.4" x14ac:dyDescent="0.3">
      <c r="A675" s="20"/>
      <c r="B675" s="36"/>
      <c r="C675" s="36"/>
      <c r="D675" s="36"/>
      <c r="E675" s="36"/>
      <c r="F675" s="36"/>
      <c r="G675" s="36"/>
    </row>
    <row r="676" spans="1:7" ht="14.4" x14ac:dyDescent="0.3">
      <c r="A676" s="20"/>
      <c r="B676" s="36"/>
      <c r="C676" s="36"/>
      <c r="D676" s="36"/>
      <c r="E676" s="36"/>
      <c r="F676" s="36"/>
      <c r="G676" s="36"/>
    </row>
    <row r="677" spans="1:7" ht="14.4" x14ac:dyDescent="0.3">
      <c r="A677" s="20"/>
      <c r="B677" s="36"/>
      <c r="C677" s="36"/>
      <c r="D677" s="36"/>
      <c r="E677" s="36"/>
      <c r="F677" s="36"/>
      <c r="G677" s="36"/>
    </row>
    <row r="678" spans="1:7" ht="14.4" x14ac:dyDescent="0.3">
      <c r="A678" s="20"/>
      <c r="B678" s="36"/>
      <c r="C678" s="36"/>
      <c r="D678" s="36"/>
      <c r="E678" s="36"/>
      <c r="F678" s="36"/>
      <c r="G678" s="36"/>
    </row>
    <row r="679" spans="1:7" ht="14.4" x14ac:dyDescent="0.3">
      <c r="A679" s="20"/>
      <c r="B679" s="36"/>
      <c r="C679" s="36"/>
      <c r="D679" s="36"/>
      <c r="E679" s="36"/>
      <c r="F679" s="36"/>
      <c r="G679" s="36"/>
    </row>
    <row r="680" spans="1:7" ht="14.4" x14ac:dyDescent="0.3">
      <c r="A680" s="20"/>
      <c r="B680" s="36"/>
      <c r="C680" s="36"/>
      <c r="D680" s="36"/>
      <c r="E680" s="36"/>
      <c r="F680" s="36"/>
      <c r="G680" s="36"/>
    </row>
    <row r="681" spans="1:7" ht="14.4" x14ac:dyDescent="0.3">
      <c r="A681" s="20"/>
      <c r="B681" s="36"/>
      <c r="C681" s="36"/>
      <c r="D681" s="36"/>
      <c r="E681" s="36"/>
      <c r="F681" s="36"/>
      <c r="G681" s="36"/>
    </row>
    <row r="682" spans="1:7" ht="14.4" x14ac:dyDescent="0.3">
      <c r="A682" s="20"/>
      <c r="B682" s="36"/>
      <c r="C682" s="36"/>
      <c r="D682" s="36"/>
      <c r="E682" s="36"/>
      <c r="F682" s="36"/>
      <c r="G682" s="36"/>
    </row>
    <row r="683" spans="1:7" ht="14.4" x14ac:dyDescent="0.3">
      <c r="A683" s="20"/>
      <c r="B683" s="36"/>
      <c r="C683" s="36"/>
      <c r="D683" s="36"/>
      <c r="E683" s="36"/>
      <c r="F683" s="36"/>
      <c r="G683" s="36"/>
    </row>
    <row r="684" spans="1:7" ht="14.4" x14ac:dyDescent="0.3">
      <c r="A684" s="20"/>
      <c r="B684" s="36"/>
      <c r="C684" s="36"/>
      <c r="D684" s="36"/>
      <c r="E684" s="36"/>
      <c r="F684" s="36"/>
      <c r="G684" s="36"/>
    </row>
    <row r="685" spans="1:7" ht="14.4" x14ac:dyDescent="0.3">
      <c r="A685" s="20"/>
      <c r="B685" s="36"/>
      <c r="C685" s="36"/>
      <c r="D685" s="36"/>
      <c r="E685" s="36"/>
      <c r="F685" s="36"/>
      <c r="G685" s="36"/>
    </row>
    <row r="686" spans="1:7" ht="14.4" x14ac:dyDescent="0.3">
      <c r="A686" s="20"/>
      <c r="B686" s="36"/>
      <c r="C686" s="36"/>
      <c r="D686" s="36"/>
      <c r="E686" s="36"/>
      <c r="F686" s="36"/>
      <c r="G686" s="36"/>
    </row>
    <row r="687" spans="1:7" ht="14.4" x14ac:dyDescent="0.3">
      <c r="A687" s="20"/>
      <c r="B687" s="36"/>
      <c r="C687" s="36"/>
      <c r="D687" s="36"/>
      <c r="E687" s="36"/>
      <c r="F687" s="36"/>
      <c r="G687" s="36"/>
    </row>
    <row r="688" spans="1:7" ht="14.4" x14ac:dyDescent="0.3">
      <c r="A688" s="20"/>
      <c r="B688" s="36"/>
      <c r="C688" s="36"/>
      <c r="D688" s="36"/>
      <c r="E688" s="36"/>
      <c r="F688" s="36"/>
      <c r="G688" s="36"/>
    </row>
    <row r="689" spans="1:7" ht="14.4" x14ac:dyDescent="0.3">
      <c r="A689" s="20"/>
      <c r="B689" s="36"/>
      <c r="C689" s="36"/>
      <c r="D689" s="36"/>
      <c r="E689" s="36"/>
      <c r="F689" s="36"/>
      <c r="G689" s="36"/>
    </row>
    <row r="690" spans="1:7" ht="14.4" x14ac:dyDescent="0.3">
      <c r="A690" s="20"/>
      <c r="B690" s="36"/>
      <c r="C690" s="36"/>
      <c r="D690" s="36"/>
      <c r="E690" s="36"/>
      <c r="F690" s="36"/>
      <c r="G690" s="36"/>
    </row>
    <row r="691" spans="1:7" ht="14.4" x14ac:dyDescent="0.3">
      <c r="A691" s="20"/>
      <c r="B691" s="36"/>
      <c r="C691" s="36"/>
      <c r="D691" s="36"/>
      <c r="E691" s="36"/>
      <c r="F691" s="36"/>
      <c r="G691" s="36"/>
    </row>
    <row r="692" spans="1:7" ht="14.4" x14ac:dyDescent="0.3">
      <c r="A692" s="20"/>
      <c r="B692" s="36"/>
      <c r="C692" s="36"/>
      <c r="D692" s="36"/>
      <c r="E692" s="36"/>
      <c r="F692" s="36"/>
      <c r="G692" s="36"/>
    </row>
    <row r="693" spans="1:7" ht="14.4" x14ac:dyDescent="0.3">
      <c r="A693" s="20"/>
      <c r="B693" s="36"/>
      <c r="C693" s="36"/>
      <c r="D693" s="36"/>
      <c r="E693" s="36"/>
      <c r="F693" s="36"/>
      <c r="G693" s="36"/>
    </row>
    <row r="694" spans="1:7" ht="14.4" x14ac:dyDescent="0.3">
      <c r="A694" s="20"/>
      <c r="B694" s="36"/>
      <c r="C694" s="36"/>
      <c r="D694" s="36"/>
      <c r="E694" s="36"/>
      <c r="F694" s="36"/>
      <c r="G694" s="36"/>
    </row>
    <row r="695" spans="1:7" ht="14.4" x14ac:dyDescent="0.3">
      <c r="A695" s="20"/>
      <c r="B695" s="36"/>
      <c r="C695" s="36"/>
      <c r="D695" s="36"/>
      <c r="E695" s="36"/>
      <c r="F695" s="36"/>
      <c r="G695" s="36"/>
    </row>
    <row r="696" spans="1:7" ht="14.4" x14ac:dyDescent="0.3">
      <c r="A696" s="20"/>
      <c r="B696" s="36"/>
      <c r="C696" s="36"/>
      <c r="D696" s="36"/>
      <c r="E696" s="36"/>
      <c r="F696" s="36"/>
      <c r="G696" s="36"/>
    </row>
    <row r="697" spans="1:7" ht="14.4" x14ac:dyDescent="0.3">
      <c r="A697" s="20"/>
      <c r="B697" s="36"/>
      <c r="C697" s="36"/>
      <c r="D697" s="36"/>
      <c r="E697" s="36"/>
      <c r="F697" s="36"/>
      <c r="G697" s="36"/>
    </row>
    <row r="698" spans="1:7" ht="14.4" x14ac:dyDescent="0.3">
      <c r="A698" s="20"/>
      <c r="B698" s="36"/>
      <c r="C698" s="36"/>
      <c r="D698" s="36"/>
      <c r="E698" s="36"/>
      <c r="F698" s="36"/>
      <c r="G698" s="36"/>
    </row>
    <row r="699" spans="1:7" ht="14.4" x14ac:dyDescent="0.3">
      <c r="A699" s="20"/>
      <c r="B699" s="36"/>
      <c r="C699" s="36"/>
      <c r="D699" s="36"/>
      <c r="E699" s="36"/>
      <c r="F699" s="36"/>
      <c r="G699" s="36"/>
    </row>
    <row r="700" spans="1:7" ht="14.4" x14ac:dyDescent="0.3">
      <c r="A700" s="20"/>
      <c r="B700" s="36"/>
      <c r="C700" s="36"/>
      <c r="D700" s="36"/>
      <c r="E700" s="36"/>
      <c r="F700" s="36"/>
      <c r="G700" s="36"/>
    </row>
    <row r="701" spans="1:7" ht="14.4" x14ac:dyDescent="0.3">
      <c r="A701" s="20"/>
      <c r="B701" s="36"/>
      <c r="C701" s="36"/>
      <c r="D701" s="36"/>
      <c r="E701" s="36"/>
      <c r="F701" s="36"/>
      <c r="G701" s="36"/>
    </row>
    <row r="702" spans="1:7" ht="14.4" x14ac:dyDescent="0.3">
      <c r="A702" s="20"/>
      <c r="B702" s="36"/>
      <c r="C702" s="36"/>
      <c r="D702" s="36"/>
      <c r="E702" s="36"/>
      <c r="F702" s="36"/>
      <c r="G702" s="36"/>
    </row>
    <row r="703" spans="1:7" ht="14.4" x14ac:dyDescent="0.3">
      <c r="A703" s="20"/>
      <c r="B703" s="36"/>
      <c r="C703" s="36"/>
      <c r="D703" s="36"/>
      <c r="E703" s="36"/>
      <c r="F703" s="36"/>
      <c r="G703" s="36"/>
    </row>
    <row r="704" spans="1:7" ht="14.4" x14ac:dyDescent="0.3">
      <c r="A704" s="20"/>
      <c r="B704" s="36"/>
      <c r="C704" s="36"/>
      <c r="D704" s="36"/>
      <c r="E704" s="36"/>
      <c r="F704" s="36"/>
      <c r="G704" s="36"/>
    </row>
    <row r="705" spans="1:7" ht="14.4" x14ac:dyDescent="0.3">
      <c r="A705" s="20"/>
      <c r="B705" s="36"/>
      <c r="C705" s="36"/>
      <c r="D705" s="36"/>
      <c r="E705" s="36"/>
      <c r="F705" s="36"/>
      <c r="G705" s="36"/>
    </row>
    <row r="706" spans="1:7" ht="14.4" x14ac:dyDescent="0.3">
      <c r="A706" s="20"/>
      <c r="B706" s="36"/>
      <c r="C706" s="36"/>
      <c r="D706" s="36"/>
      <c r="E706" s="36"/>
      <c r="F706" s="36"/>
      <c r="G706" s="36"/>
    </row>
    <row r="707" spans="1:7" ht="14.4" x14ac:dyDescent="0.3">
      <c r="A707" s="20"/>
      <c r="B707" s="36"/>
      <c r="C707" s="36"/>
      <c r="D707" s="36"/>
      <c r="E707" s="36"/>
      <c r="F707" s="36"/>
      <c r="G707" s="36"/>
    </row>
    <row r="708" spans="1:7" ht="14.4" x14ac:dyDescent="0.3">
      <c r="A708" s="20"/>
      <c r="B708" s="36"/>
      <c r="C708" s="36"/>
      <c r="D708" s="36"/>
      <c r="E708" s="36"/>
      <c r="F708" s="36"/>
      <c r="G708" s="36"/>
    </row>
    <row r="709" spans="1:7" ht="14.4" x14ac:dyDescent="0.3">
      <c r="A709" s="20"/>
      <c r="B709" s="36"/>
      <c r="C709" s="36"/>
      <c r="D709" s="36"/>
      <c r="E709" s="36"/>
      <c r="F709" s="36"/>
      <c r="G709" s="36"/>
    </row>
    <row r="710" spans="1:7" ht="14.4" x14ac:dyDescent="0.3">
      <c r="A710" s="20"/>
      <c r="B710" s="36"/>
      <c r="C710" s="36"/>
      <c r="D710" s="36"/>
      <c r="E710" s="36"/>
      <c r="F710" s="36"/>
      <c r="G710" s="36"/>
    </row>
    <row r="711" spans="1:7" ht="14.4" x14ac:dyDescent="0.3">
      <c r="A711" s="20"/>
      <c r="B711" s="36"/>
      <c r="C711" s="36"/>
      <c r="D711" s="36"/>
      <c r="E711" s="36"/>
      <c r="F711" s="36"/>
      <c r="G711" s="36"/>
    </row>
    <row r="712" spans="1:7" ht="14.4" x14ac:dyDescent="0.3">
      <c r="A712" s="20"/>
      <c r="B712" s="36"/>
      <c r="C712" s="36"/>
      <c r="D712" s="36"/>
      <c r="E712" s="36"/>
      <c r="F712" s="36"/>
      <c r="G712" s="36"/>
    </row>
    <row r="713" spans="1:7" ht="14.4" x14ac:dyDescent="0.3">
      <c r="A713" s="20"/>
      <c r="B713" s="36"/>
      <c r="C713" s="36"/>
      <c r="D713" s="36"/>
      <c r="E713" s="36"/>
      <c r="F713" s="36"/>
      <c r="G713" s="36"/>
    </row>
    <row r="714" spans="1:7" ht="14.4" x14ac:dyDescent="0.3">
      <c r="A714" s="20"/>
      <c r="B714" s="36"/>
      <c r="C714" s="36"/>
      <c r="D714" s="36"/>
      <c r="E714" s="36"/>
      <c r="F714" s="36"/>
      <c r="G714" s="36"/>
    </row>
    <row r="715" spans="1:7" ht="14.4" x14ac:dyDescent="0.3">
      <c r="A715" s="20"/>
      <c r="B715" s="36"/>
      <c r="C715" s="36"/>
      <c r="D715" s="36"/>
      <c r="E715" s="36"/>
      <c r="F715" s="36"/>
      <c r="G715" s="36"/>
    </row>
    <row r="716" spans="1:7" ht="14.4" x14ac:dyDescent="0.3">
      <c r="A716" s="20"/>
      <c r="B716" s="36"/>
      <c r="C716" s="36"/>
      <c r="D716" s="36"/>
      <c r="E716" s="36"/>
      <c r="F716" s="36"/>
      <c r="G716" s="36"/>
    </row>
    <row r="717" spans="1:7" ht="14.4" x14ac:dyDescent="0.3">
      <c r="A717" s="20"/>
      <c r="B717" s="36"/>
      <c r="C717" s="36"/>
      <c r="D717" s="36"/>
      <c r="E717" s="36"/>
      <c r="F717" s="36"/>
      <c r="G717" s="36"/>
    </row>
    <row r="718" spans="1:7" ht="14.4" x14ac:dyDescent="0.3">
      <c r="A718" s="20"/>
      <c r="B718" s="36"/>
      <c r="C718" s="36"/>
      <c r="D718" s="36"/>
      <c r="E718" s="36"/>
      <c r="F718" s="36"/>
      <c r="G718" s="36"/>
    </row>
    <row r="719" spans="1:7" ht="14.4" x14ac:dyDescent="0.3">
      <c r="A719" s="20"/>
      <c r="B719" s="36"/>
      <c r="C719" s="36"/>
      <c r="D719" s="36"/>
      <c r="E719" s="36"/>
      <c r="F719" s="36"/>
      <c r="G719" s="36"/>
    </row>
    <row r="720" spans="1:7" ht="14.4" x14ac:dyDescent="0.3">
      <c r="A720" s="20"/>
      <c r="B720" s="36"/>
      <c r="C720" s="36"/>
      <c r="D720" s="36"/>
      <c r="E720" s="36"/>
      <c r="F720" s="36"/>
      <c r="G720" s="36"/>
    </row>
    <row r="721" spans="1:7" ht="14.4" x14ac:dyDescent="0.3">
      <c r="A721" s="20"/>
      <c r="B721" s="36"/>
      <c r="C721" s="36"/>
      <c r="D721" s="36"/>
      <c r="E721" s="36"/>
      <c r="F721" s="36"/>
      <c r="G721" s="36"/>
    </row>
    <row r="722" spans="1:7" ht="14.4" x14ac:dyDescent="0.3">
      <c r="A722" s="20"/>
      <c r="B722" s="36"/>
      <c r="C722" s="36"/>
      <c r="D722" s="36"/>
      <c r="E722" s="36"/>
      <c r="F722" s="36"/>
      <c r="G722" s="36"/>
    </row>
    <row r="723" spans="1:7" ht="14.4" x14ac:dyDescent="0.3">
      <c r="A723" s="20"/>
      <c r="B723" s="36"/>
      <c r="C723" s="36"/>
      <c r="D723" s="36"/>
      <c r="E723" s="36"/>
      <c r="F723" s="36"/>
      <c r="G723" s="36"/>
    </row>
    <row r="724" spans="1:7" ht="14.4" x14ac:dyDescent="0.3">
      <c r="A724" s="20"/>
      <c r="B724" s="36"/>
      <c r="C724" s="36"/>
      <c r="D724" s="36"/>
      <c r="E724" s="36"/>
      <c r="F724" s="36"/>
      <c r="G724" s="36"/>
    </row>
    <row r="725" spans="1:7" ht="14.4" x14ac:dyDescent="0.3">
      <c r="A725" s="20"/>
      <c r="B725" s="36"/>
      <c r="C725" s="36"/>
      <c r="D725" s="36"/>
      <c r="E725" s="36"/>
      <c r="F725" s="36"/>
      <c r="G725" s="36"/>
    </row>
    <row r="726" spans="1:7" ht="14.4" x14ac:dyDescent="0.3">
      <c r="A726" s="20"/>
      <c r="B726" s="36"/>
      <c r="C726" s="36"/>
      <c r="D726" s="36"/>
      <c r="E726" s="36"/>
      <c r="F726" s="36"/>
      <c r="G726" s="36"/>
    </row>
    <row r="727" spans="1:7" ht="14.4" x14ac:dyDescent="0.3">
      <c r="A727" s="20"/>
      <c r="B727" s="36"/>
      <c r="C727" s="36"/>
      <c r="D727" s="36"/>
      <c r="E727" s="36"/>
      <c r="F727" s="36"/>
      <c r="G727" s="36"/>
    </row>
    <row r="728" spans="1:7" ht="14.4" x14ac:dyDescent="0.3">
      <c r="A728" s="20"/>
      <c r="B728" s="36"/>
      <c r="C728" s="36"/>
      <c r="D728" s="36"/>
      <c r="E728" s="36"/>
      <c r="F728" s="36"/>
      <c r="G728" s="36"/>
    </row>
    <row r="729" spans="1:7" ht="14.4" x14ac:dyDescent="0.3">
      <c r="A729" s="20"/>
      <c r="B729" s="36"/>
      <c r="C729" s="36"/>
      <c r="D729" s="36"/>
      <c r="E729" s="36"/>
      <c r="F729" s="36"/>
      <c r="G729" s="36"/>
    </row>
    <row r="730" spans="1:7" ht="14.4" x14ac:dyDescent="0.3">
      <c r="A730" s="20"/>
      <c r="B730" s="36"/>
      <c r="C730" s="36"/>
      <c r="D730" s="36"/>
      <c r="E730" s="36"/>
      <c r="F730" s="36"/>
      <c r="G730" s="36"/>
    </row>
    <row r="731" spans="1:7" ht="14.4" x14ac:dyDescent="0.3">
      <c r="A731" s="20"/>
      <c r="B731" s="36"/>
      <c r="C731" s="36"/>
      <c r="D731" s="36"/>
      <c r="E731" s="36"/>
      <c r="F731" s="36"/>
      <c r="G731" s="36"/>
    </row>
    <row r="732" spans="1:7" ht="14.4" x14ac:dyDescent="0.3">
      <c r="A732" s="20"/>
      <c r="B732" s="36"/>
      <c r="C732" s="36"/>
      <c r="D732" s="36"/>
      <c r="E732" s="36"/>
      <c r="F732" s="36"/>
      <c r="G732" s="36"/>
    </row>
    <row r="733" spans="1:7" ht="14.4" x14ac:dyDescent="0.3">
      <c r="A733" s="20"/>
      <c r="B733" s="36"/>
      <c r="C733" s="36"/>
      <c r="D733" s="36"/>
      <c r="E733" s="36"/>
      <c r="F733" s="36"/>
      <c r="G733" s="36"/>
    </row>
    <row r="734" spans="1:7" ht="14.4" x14ac:dyDescent="0.3">
      <c r="A734" s="20"/>
      <c r="B734" s="36"/>
      <c r="C734" s="36"/>
      <c r="D734" s="36"/>
      <c r="E734" s="36"/>
      <c r="F734" s="36"/>
      <c r="G734" s="36"/>
    </row>
    <row r="735" spans="1:7" ht="14.4" x14ac:dyDescent="0.3">
      <c r="A735" s="20"/>
      <c r="B735" s="36"/>
      <c r="C735" s="36"/>
      <c r="D735" s="36"/>
      <c r="E735" s="36"/>
      <c r="F735" s="36"/>
      <c r="G735" s="36"/>
    </row>
    <row r="736" spans="1:7" ht="14.4" x14ac:dyDescent="0.3">
      <c r="A736" s="20"/>
      <c r="B736" s="36"/>
      <c r="C736" s="36"/>
      <c r="D736" s="36"/>
      <c r="E736" s="36"/>
      <c r="F736" s="36"/>
      <c r="G736" s="36"/>
    </row>
    <row r="737" spans="1:7" ht="14.4" x14ac:dyDescent="0.3">
      <c r="A737" s="20"/>
      <c r="B737" s="36"/>
      <c r="C737" s="36"/>
      <c r="D737" s="36"/>
      <c r="E737" s="36"/>
      <c r="F737" s="36"/>
      <c r="G737" s="36"/>
    </row>
    <row r="738" spans="1:7" ht="14.4" x14ac:dyDescent="0.3">
      <c r="A738" s="20"/>
      <c r="B738" s="36"/>
      <c r="C738" s="36"/>
      <c r="D738" s="36"/>
      <c r="E738" s="36"/>
      <c r="F738" s="36"/>
      <c r="G738" s="36"/>
    </row>
    <row r="739" spans="1:7" ht="14.4" x14ac:dyDescent="0.3">
      <c r="A739" s="20"/>
      <c r="B739" s="36"/>
      <c r="C739" s="36"/>
      <c r="D739" s="36"/>
      <c r="E739" s="36"/>
      <c r="F739" s="36"/>
      <c r="G739" s="36"/>
    </row>
    <row r="740" spans="1:7" ht="14.4" x14ac:dyDescent="0.3">
      <c r="A740" s="20"/>
      <c r="B740" s="36"/>
      <c r="C740" s="36"/>
      <c r="D740" s="36"/>
      <c r="E740" s="36"/>
      <c r="F740" s="36"/>
      <c r="G740" s="36"/>
    </row>
    <row r="741" spans="1:7" ht="14.4" x14ac:dyDescent="0.3">
      <c r="A741" s="20"/>
      <c r="B741" s="36"/>
      <c r="C741" s="36"/>
      <c r="D741" s="36"/>
      <c r="E741" s="36"/>
      <c r="F741" s="36"/>
      <c r="G741" s="36"/>
    </row>
    <row r="742" spans="1:7" ht="14.4" x14ac:dyDescent="0.3">
      <c r="A742" s="20"/>
      <c r="B742" s="36"/>
      <c r="C742" s="36"/>
      <c r="D742" s="36"/>
      <c r="E742" s="36"/>
      <c r="F742" s="36"/>
      <c r="G742" s="36"/>
    </row>
    <row r="743" spans="1:7" ht="14.4" x14ac:dyDescent="0.3">
      <c r="A743" s="20"/>
      <c r="B743" s="36"/>
      <c r="C743" s="36"/>
      <c r="D743" s="36"/>
      <c r="E743" s="36"/>
      <c r="F743" s="36"/>
      <c r="G743" s="36"/>
    </row>
    <row r="744" spans="1:7" ht="14.4" x14ac:dyDescent="0.3">
      <c r="A744" s="20"/>
      <c r="B744" s="36"/>
      <c r="C744" s="36"/>
      <c r="D744" s="36"/>
      <c r="E744" s="36"/>
      <c r="F744" s="36"/>
      <c r="G744" s="36"/>
    </row>
    <row r="745" spans="1:7" ht="14.4" x14ac:dyDescent="0.3">
      <c r="A745" s="20"/>
      <c r="B745" s="36"/>
      <c r="C745" s="36"/>
      <c r="D745" s="36"/>
      <c r="E745" s="36"/>
      <c r="F745" s="36"/>
      <c r="G745" s="36"/>
    </row>
    <row r="746" spans="1:7" ht="14.4" x14ac:dyDescent="0.3">
      <c r="A746" s="20"/>
      <c r="B746" s="36"/>
      <c r="C746" s="36"/>
      <c r="D746" s="36"/>
      <c r="E746" s="36"/>
      <c r="F746" s="36"/>
      <c r="G746" s="36"/>
    </row>
    <row r="747" spans="1:7" ht="14.4" x14ac:dyDescent="0.3">
      <c r="A747" s="20"/>
      <c r="B747" s="36"/>
      <c r="C747" s="36"/>
      <c r="D747" s="36"/>
      <c r="E747" s="36"/>
      <c r="F747" s="36"/>
      <c r="G747" s="36"/>
    </row>
    <row r="748" spans="1:7" ht="14.4" x14ac:dyDescent="0.3">
      <c r="A748" s="20"/>
      <c r="B748" s="36"/>
      <c r="C748" s="36"/>
      <c r="D748" s="36"/>
      <c r="E748" s="36"/>
      <c r="F748" s="36"/>
      <c r="G748" s="36"/>
    </row>
    <row r="749" spans="1:7" ht="14.4" x14ac:dyDescent="0.3">
      <c r="A749" s="20"/>
      <c r="B749" s="36"/>
      <c r="C749" s="36"/>
      <c r="D749" s="36"/>
      <c r="E749" s="36"/>
      <c r="F749" s="36"/>
      <c r="G749" s="36"/>
    </row>
    <row r="750" spans="1:7" ht="14.4" x14ac:dyDescent="0.3">
      <c r="A750" s="20"/>
      <c r="B750" s="36"/>
      <c r="C750" s="36"/>
      <c r="D750" s="36"/>
      <c r="E750" s="36"/>
      <c r="F750" s="36"/>
      <c r="G750" s="36"/>
    </row>
    <row r="751" spans="1:7" ht="14.4" x14ac:dyDescent="0.3">
      <c r="A751" s="20"/>
      <c r="B751" s="36"/>
      <c r="C751" s="36"/>
      <c r="D751" s="36"/>
      <c r="E751" s="36"/>
      <c r="F751" s="36"/>
      <c r="G751" s="36"/>
    </row>
    <row r="752" spans="1:7" ht="14.4" x14ac:dyDescent="0.3">
      <c r="A752" s="20"/>
      <c r="B752" s="36"/>
      <c r="C752" s="36"/>
      <c r="D752" s="36"/>
      <c r="E752" s="36"/>
      <c r="F752" s="36"/>
      <c r="G752" s="36"/>
    </row>
    <row r="753" spans="1:7" ht="14.4" x14ac:dyDescent="0.3">
      <c r="A753" s="20"/>
      <c r="B753" s="36"/>
      <c r="C753" s="36"/>
      <c r="D753" s="36"/>
      <c r="E753" s="36"/>
      <c r="F753" s="36"/>
      <c r="G753" s="36"/>
    </row>
    <row r="754" spans="1:7" ht="14.4" x14ac:dyDescent="0.3">
      <c r="A754" s="20"/>
      <c r="B754" s="36"/>
      <c r="C754" s="36"/>
      <c r="D754" s="36"/>
      <c r="E754" s="36"/>
      <c r="F754" s="36"/>
      <c r="G754" s="36"/>
    </row>
    <row r="755" spans="1:7" ht="14.4" x14ac:dyDescent="0.3">
      <c r="A755" s="20"/>
      <c r="B755" s="36"/>
      <c r="C755" s="36"/>
      <c r="D755" s="36"/>
      <c r="E755" s="36"/>
      <c r="F755" s="36"/>
      <c r="G755" s="36"/>
    </row>
    <row r="756" spans="1:7" ht="14.4" x14ac:dyDescent="0.3">
      <c r="A756" s="20"/>
      <c r="B756" s="36"/>
      <c r="C756" s="36"/>
      <c r="D756" s="36"/>
      <c r="E756" s="36"/>
      <c r="F756" s="36"/>
      <c r="G756" s="36"/>
    </row>
    <row r="757" spans="1:7" ht="14.4" x14ac:dyDescent="0.3">
      <c r="A757" s="20"/>
      <c r="B757" s="36"/>
      <c r="C757" s="36"/>
      <c r="D757" s="36"/>
      <c r="E757" s="36"/>
      <c r="F757" s="36"/>
      <c r="G757" s="36"/>
    </row>
    <row r="758" spans="1:7" ht="14.4" x14ac:dyDescent="0.3">
      <c r="A758" s="20"/>
      <c r="B758" s="36"/>
      <c r="C758" s="36"/>
      <c r="D758" s="36"/>
      <c r="E758" s="36"/>
      <c r="F758" s="36"/>
      <c r="G758" s="36"/>
    </row>
    <row r="759" spans="1:7" ht="14.4" x14ac:dyDescent="0.3">
      <c r="A759" s="20"/>
      <c r="B759" s="36"/>
      <c r="C759" s="36"/>
      <c r="D759" s="36"/>
      <c r="E759" s="36"/>
      <c r="F759" s="36"/>
      <c r="G759" s="36"/>
    </row>
    <row r="760" spans="1:7" ht="14.4" x14ac:dyDescent="0.3">
      <c r="A760" s="20"/>
      <c r="B760" s="36"/>
      <c r="C760" s="36"/>
      <c r="D760" s="36"/>
      <c r="E760" s="36"/>
      <c r="F760" s="36"/>
      <c r="G760" s="36"/>
    </row>
    <row r="761" spans="1:7" ht="14.4" x14ac:dyDescent="0.3">
      <c r="A761" s="20"/>
      <c r="B761" s="36"/>
      <c r="C761" s="36"/>
      <c r="D761" s="36"/>
      <c r="E761" s="36"/>
      <c r="F761" s="36"/>
      <c r="G761" s="36"/>
    </row>
    <row r="762" spans="1:7" ht="14.4" x14ac:dyDescent="0.3">
      <c r="A762" s="20"/>
      <c r="B762" s="36"/>
      <c r="C762" s="36"/>
      <c r="D762" s="36"/>
      <c r="E762" s="36"/>
      <c r="F762" s="36"/>
      <c r="G762" s="36"/>
    </row>
    <row r="763" spans="1:7" ht="14.4" x14ac:dyDescent="0.3">
      <c r="A763" s="20"/>
      <c r="B763" s="36"/>
      <c r="C763" s="36"/>
      <c r="D763" s="36"/>
      <c r="E763" s="36"/>
      <c r="F763" s="36"/>
      <c r="G763" s="36"/>
    </row>
    <row r="764" spans="1:7" ht="14.4" x14ac:dyDescent="0.3">
      <c r="A764" s="20"/>
      <c r="B764" s="36"/>
      <c r="C764" s="36"/>
      <c r="D764" s="36"/>
      <c r="E764" s="36"/>
      <c r="F764" s="36"/>
      <c r="G764" s="36"/>
    </row>
    <row r="765" spans="1:7" ht="14.4" x14ac:dyDescent="0.3">
      <c r="A765" s="20"/>
      <c r="B765" s="36"/>
      <c r="C765" s="36"/>
      <c r="D765" s="36"/>
      <c r="E765" s="36"/>
      <c r="F765" s="36"/>
      <c r="G765" s="36"/>
    </row>
    <row r="766" spans="1:7" ht="14.4" x14ac:dyDescent="0.3">
      <c r="A766" s="20"/>
      <c r="B766" s="36"/>
      <c r="C766" s="36"/>
      <c r="D766" s="36"/>
      <c r="E766" s="36"/>
      <c r="F766" s="36"/>
      <c r="G766" s="36"/>
    </row>
    <row r="767" spans="1:7" ht="14.4" x14ac:dyDescent="0.3">
      <c r="A767" s="20"/>
      <c r="B767" s="36"/>
      <c r="C767" s="36"/>
      <c r="D767" s="36"/>
      <c r="E767" s="36"/>
      <c r="F767" s="36"/>
      <c r="G767" s="36"/>
    </row>
    <row r="768" spans="1:7" ht="14.4" x14ac:dyDescent="0.3">
      <c r="A768" s="20"/>
      <c r="B768" s="36"/>
      <c r="C768" s="36"/>
      <c r="D768" s="36"/>
      <c r="E768" s="36"/>
      <c r="F768" s="36"/>
      <c r="G768" s="36"/>
    </row>
    <row r="769" spans="1:7" ht="14.4" x14ac:dyDescent="0.3">
      <c r="A769" s="20"/>
      <c r="B769" s="36"/>
      <c r="C769" s="36"/>
      <c r="D769" s="36"/>
      <c r="E769" s="36"/>
      <c r="F769" s="36"/>
      <c r="G769" s="36"/>
    </row>
    <row r="770" spans="1:7" ht="14.4" x14ac:dyDescent="0.3">
      <c r="A770" s="20"/>
      <c r="B770" s="36"/>
      <c r="C770" s="36"/>
      <c r="D770" s="36"/>
      <c r="E770" s="36"/>
      <c r="F770" s="36"/>
      <c r="G770" s="36"/>
    </row>
    <row r="771" spans="1:7" ht="14.4" x14ac:dyDescent="0.3">
      <c r="A771" s="20"/>
      <c r="B771" s="36"/>
      <c r="C771" s="36"/>
      <c r="D771" s="36"/>
      <c r="E771" s="36"/>
      <c r="F771" s="36"/>
      <c r="G771" s="36"/>
    </row>
    <row r="772" spans="1:7" ht="14.4" x14ac:dyDescent="0.3">
      <c r="A772" s="20"/>
      <c r="B772" s="36"/>
      <c r="C772" s="36"/>
      <c r="D772" s="36"/>
      <c r="E772" s="36"/>
      <c r="F772" s="36"/>
      <c r="G772" s="36"/>
    </row>
    <row r="773" spans="1:7" ht="14.4" x14ac:dyDescent="0.3">
      <c r="A773" s="20"/>
      <c r="B773" s="36"/>
      <c r="C773" s="36"/>
      <c r="D773" s="36"/>
      <c r="E773" s="36"/>
      <c r="F773" s="36"/>
      <c r="G773" s="36"/>
    </row>
    <row r="774" spans="1:7" ht="14.4" x14ac:dyDescent="0.3">
      <c r="A774" s="20"/>
      <c r="B774" s="36"/>
      <c r="C774" s="36"/>
      <c r="D774" s="36"/>
      <c r="E774" s="36"/>
      <c r="F774" s="36"/>
      <c r="G774" s="36"/>
    </row>
    <row r="775" spans="1:7" ht="14.4" x14ac:dyDescent="0.3">
      <c r="A775" s="20"/>
      <c r="B775" s="36"/>
      <c r="C775" s="36"/>
      <c r="D775" s="36"/>
      <c r="E775" s="36"/>
      <c r="F775" s="36"/>
      <c r="G775" s="36"/>
    </row>
    <row r="776" spans="1:7" ht="14.4" x14ac:dyDescent="0.3">
      <c r="A776" s="20"/>
      <c r="B776" s="36"/>
      <c r="C776" s="36"/>
      <c r="D776" s="36"/>
      <c r="E776" s="36"/>
      <c r="F776" s="36"/>
      <c r="G776" s="36"/>
    </row>
    <row r="777" spans="1:7" ht="14.4" x14ac:dyDescent="0.3">
      <c r="A777" s="20"/>
      <c r="B777" s="36"/>
      <c r="C777" s="36"/>
      <c r="D777" s="36"/>
      <c r="E777" s="36"/>
      <c r="F777" s="36"/>
      <c r="G777" s="36"/>
    </row>
    <row r="778" spans="1:7" ht="14.4" x14ac:dyDescent="0.3">
      <c r="A778" s="20"/>
      <c r="B778" s="36"/>
      <c r="C778" s="36"/>
      <c r="D778" s="36"/>
      <c r="E778" s="36"/>
      <c r="F778" s="36"/>
      <c r="G778" s="36"/>
    </row>
    <row r="779" spans="1:7" ht="14.4" x14ac:dyDescent="0.3">
      <c r="A779" s="20"/>
      <c r="B779" s="36"/>
      <c r="C779" s="36"/>
      <c r="D779" s="36"/>
      <c r="E779" s="36"/>
      <c r="F779" s="36"/>
      <c r="G779" s="36"/>
    </row>
    <row r="780" spans="1:7" ht="14.4" x14ac:dyDescent="0.3">
      <c r="A780" s="20"/>
      <c r="B780" s="36"/>
      <c r="C780" s="36"/>
      <c r="D780" s="36"/>
      <c r="E780" s="36"/>
      <c r="F780" s="36"/>
      <c r="G780" s="36"/>
    </row>
    <row r="781" spans="1:7" ht="14.4" x14ac:dyDescent="0.3">
      <c r="A781" s="20"/>
      <c r="B781" s="36"/>
      <c r="C781" s="36"/>
      <c r="D781" s="36"/>
      <c r="E781" s="36"/>
      <c r="F781" s="36"/>
      <c r="G781" s="36"/>
    </row>
    <row r="782" spans="1:7" ht="14.4" x14ac:dyDescent="0.3">
      <c r="A782" s="20"/>
      <c r="B782" s="36"/>
      <c r="C782" s="36"/>
      <c r="D782" s="36"/>
      <c r="E782" s="36"/>
      <c r="F782" s="36"/>
      <c r="G782" s="36"/>
    </row>
    <row r="783" spans="1:7" ht="14.4" x14ac:dyDescent="0.3">
      <c r="A783" s="20"/>
      <c r="B783" s="36"/>
      <c r="C783" s="36"/>
      <c r="D783" s="36"/>
      <c r="E783" s="36"/>
      <c r="F783" s="36"/>
      <c r="G783" s="36"/>
    </row>
    <row r="784" spans="1:7" ht="14.4" x14ac:dyDescent="0.3">
      <c r="A784" s="20"/>
      <c r="B784" s="36"/>
      <c r="C784" s="36"/>
      <c r="D784" s="36"/>
      <c r="E784" s="36"/>
      <c r="F784" s="36"/>
      <c r="G784" s="36"/>
    </row>
    <row r="785" spans="1:7" ht="14.4" x14ac:dyDescent="0.3">
      <c r="A785" s="20"/>
      <c r="B785" s="36"/>
      <c r="C785" s="36"/>
      <c r="D785" s="36"/>
      <c r="E785" s="36"/>
      <c r="F785" s="36"/>
      <c r="G785" s="36"/>
    </row>
    <row r="786" spans="1:7" ht="14.4" x14ac:dyDescent="0.3">
      <c r="A786" s="20"/>
      <c r="B786" s="36"/>
      <c r="C786" s="36"/>
      <c r="D786" s="36"/>
      <c r="E786" s="36"/>
      <c r="F786" s="36"/>
      <c r="G786" s="36"/>
    </row>
    <row r="787" spans="1:7" ht="14.4" x14ac:dyDescent="0.3">
      <c r="A787" s="20"/>
      <c r="B787" s="36"/>
      <c r="C787" s="36"/>
      <c r="D787" s="36"/>
      <c r="E787" s="36"/>
      <c r="F787" s="36"/>
      <c r="G787" s="36"/>
    </row>
    <row r="788" spans="1:7" ht="14.4" x14ac:dyDescent="0.3">
      <c r="A788" s="20"/>
      <c r="B788" s="36"/>
      <c r="C788" s="36"/>
      <c r="D788" s="36"/>
      <c r="E788" s="36"/>
      <c r="F788" s="36"/>
      <c r="G788" s="36"/>
    </row>
    <row r="789" spans="1:7" ht="14.4" x14ac:dyDescent="0.3">
      <c r="A789" s="20"/>
      <c r="B789" s="36"/>
      <c r="C789" s="36"/>
      <c r="D789" s="36"/>
      <c r="E789" s="36"/>
      <c r="F789" s="36"/>
      <c r="G789" s="36"/>
    </row>
    <row r="790" spans="1:7" ht="14.4" x14ac:dyDescent="0.3">
      <c r="A790" s="20"/>
      <c r="B790" s="36"/>
      <c r="C790" s="36"/>
      <c r="D790" s="36"/>
      <c r="E790" s="36"/>
      <c r="F790" s="36"/>
      <c r="G790" s="36"/>
    </row>
    <row r="791" spans="1:7" ht="14.4" x14ac:dyDescent="0.3">
      <c r="A791" s="20"/>
      <c r="B791" s="36"/>
      <c r="C791" s="36"/>
      <c r="D791" s="36"/>
      <c r="E791" s="36"/>
      <c r="F791" s="36"/>
      <c r="G791" s="36"/>
    </row>
    <row r="792" spans="1:7" ht="14.4" x14ac:dyDescent="0.3">
      <c r="A792" s="20"/>
      <c r="B792" s="36"/>
      <c r="C792" s="36"/>
      <c r="D792" s="36"/>
      <c r="E792" s="36"/>
      <c r="F792" s="36"/>
      <c r="G792" s="36"/>
    </row>
    <row r="793" spans="1:7" ht="14.4" x14ac:dyDescent="0.3">
      <c r="A793" s="20"/>
      <c r="B793" s="36"/>
      <c r="C793" s="36"/>
      <c r="D793" s="36"/>
      <c r="E793" s="36"/>
      <c r="F793" s="36"/>
      <c r="G793" s="36"/>
    </row>
    <row r="794" spans="1:7" ht="14.4" x14ac:dyDescent="0.3">
      <c r="A794" s="20"/>
      <c r="B794" s="36"/>
      <c r="C794" s="36"/>
      <c r="D794" s="36"/>
      <c r="E794" s="36"/>
      <c r="F794" s="36"/>
      <c r="G794" s="36"/>
    </row>
    <row r="795" spans="1:7" ht="14.4" x14ac:dyDescent="0.3">
      <c r="A795" s="20"/>
      <c r="B795" s="36"/>
      <c r="C795" s="36"/>
      <c r="D795" s="36"/>
      <c r="E795" s="36"/>
      <c r="F795" s="36"/>
      <c r="G795" s="36"/>
    </row>
    <row r="796" spans="1:7" ht="14.4" x14ac:dyDescent="0.3">
      <c r="A796" s="20"/>
      <c r="B796" s="36"/>
      <c r="C796" s="36"/>
      <c r="D796" s="36"/>
      <c r="E796" s="36"/>
      <c r="F796" s="36"/>
      <c r="G796" s="36"/>
    </row>
    <row r="797" spans="1:7" ht="14.4" x14ac:dyDescent="0.3">
      <c r="A797" s="20"/>
      <c r="B797" s="36"/>
      <c r="C797" s="36"/>
      <c r="D797" s="36"/>
      <c r="E797" s="36"/>
      <c r="F797" s="36"/>
      <c r="G797" s="36"/>
    </row>
    <row r="798" spans="1:7" ht="14.4" x14ac:dyDescent="0.3">
      <c r="A798" s="20"/>
      <c r="B798" s="36"/>
      <c r="C798" s="36"/>
      <c r="D798" s="36"/>
      <c r="E798" s="36"/>
      <c r="F798" s="36"/>
      <c r="G798" s="36"/>
    </row>
    <row r="799" spans="1:7" ht="14.4" x14ac:dyDescent="0.3">
      <c r="A799" s="20"/>
      <c r="B799" s="36"/>
      <c r="C799" s="36"/>
      <c r="D799" s="36"/>
      <c r="E799" s="36"/>
      <c r="F799" s="36"/>
      <c r="G799" s="36"/>
    </row>
    <row r="800" spans="1:7" ht="14.4" x14ac:dyDescent="0.3">
      <c r="A800" s="20"/>
      <c r="B800" s="36"/>
      <c r="C800" s="36"/>
      <c r="D800" s="36"/>
      <c r="E800" s="36"/>
      <c r="F800" s="36"/>
      <c r="G800" s="36"/>
    </row>
    <row r="801" spans="1:7" ht="14.4" x14ac:dyDescent="0.3">
      <c r="A801" s="20"/>
      <c r="B801" s="36"/>
      <c r="C801" s="36"/>
      <c r="D801" s="36"/>
      <c r="E801" s="36"/>
      <c r="F801" s="36"/>
      <c r="G801" s="36"/>
    </row>
    <row r="802" spans="1:7" ht="14.4" x14ac:dyDescent="0.3">
      <c r="A802" s="20"/>
      <c r="B802" s="36"/>
      <c r="C802" s="36"/>
      <c r="D802" s="36"/>
      <c r="E802" s="36"/>
      <c r="F802" s="36"/>
      <c r="G802" s="36"/>
    </row>
    <row r="803" spans="1:7" ht="14.4" x14ac:dyDescent="0.3">
      <c r="A803" s="20"/>
      <c r="B803" s="36"/>
      <c r="C803" s="36"/>
      <c r="D803" s="36"/>
      <c r="E803" s="36"/>
      <c r="F803" s="36"/>
      <c r="G803" s="36"/>
    </row>
    <row r="804" spans="1:7" ht="14.4" x14ac:dyDescent="0.3">
      <c r="A804" s="20"/>
      <c r="B804" s="36"/>
      <c r="C804" s="36"/>
      <c r="D804" s="36"/>
      <c r="E804" s="36"/>
      <c r="F804" s="36"/>
      <c r="G804" s="36"/>
    </row>
    <row r="805" spans="1:7" ht="14.4" x14ac:dyDescent="0.3">
      <c r="A805" s="20"/>
      <c r="B805" s="36"/>
      <c r="C805" s="36"/>
      <c r="D805" s="36"/>
      <c r="E805" s="36"/>
      <c r="F805" s="36"/>
      <c r="G805" s="36"/>
    </row>
    <row r="806" spans="1:7" ht="14.4" x14ac:dyDescent="0.3">
      <c r="A806" s="20"/>
      <c r="B806" s="36"/>
      <c r="C806" s="36"/>
      <c r="D806" s="36"/>
      <c r="E806" s="36"/>
      <c r="F806" s="36"/>
      <c r="G806" s="36"/>
    </row>
    <row r="807" spans="1:7" ht="14.4" x14ac:dyDescent="0.3">
      <c r="A807" s="20"/>
      <c r="B807" s="36"/>
      <c r="C807" s="36"/>
      <c r="D807" s="36"/>
      <c r="E807" s="36"/>
      <c r="F807" s="36"/>
      <c r="G807" s="36"/>
    </row>
    <row r="808" spans="1:7" ht="14.4" x14ac:dyDescent="0.3">
      <c r="A808" s="20"/>
      <c r="B808" s="36"/>
      <c r="C808" s="36"/>
      <c r="D808" s="36"/>
      <c r="E808" s="36"/>
      <c r="F808" s="36"/>
      <c r="G808" s="36"/>
    </row>
    <row r="809" spans="1:7" ht="14.4" x14ac:dyDescent="0.3">
      <c r="A809" s="20"/>
      <c r="B809" s="36"/>
      <c r="C809" s="36"/>
      <c r="D809" s="36"/>
      <c r="E809" s="36"/>
      <c r="F809" s="36"/>
      <c r="G809" s="36"/>
    </row>
    <row r="810" spans="1:7" ht="14.4" x14ac:dyDescent="0.3">
      <c r="A810" s="20"/>
      <c r="B810" s="36"/>
      <c r="C810" s="36"/>
      <c r="D810" s="36"/>
      <c r="E810" s="36"/>
      <c r="F810" s="36"/>
      <c r="G810" s="36"/>
    </row>
    <row r="811" spans="1:7" ht="14.4" x14ac:dyDescent="0.3">
      <c r="A811" s="20"/>
      <c r="B811" s="36"/>
      <c r="C811" s="36"/>
      <c r="D811" s="36"/>
      <c r="E811" s="36"/>
      <c r="F811" s="36"/>
      <c r="G811" s="36"/>
    </row>
    <row r="812" spans="1:7" ht="14.4" x14ac:dyDescent="0.3">
      <c r="A812" s="20"/>
      <c r="B812" s="36"/>
      <c r="C812" s="36"/>
      <c r="D812" s="36"/>
      <c r="E812" s="36"/>
      <c r="F812" s="36"/>
      <c r="G812" s="36"/>
    </row>
    <row r="813" spans="1:7" ht="14.4" x14ac:dyDescent="0.3">
      <c r="A813" s="20"/>
      <c r="B813" s="36"/>
      <c r="C813" s="36"/>
      <c r="D813" s="36"/>
      <c r="E813" s="36"/>
      <c r="F813" s="36"/>
      <c r="G813" s="36"/>
    </row>
    <row r="814" spans="1:7" ht="14.4" x14ac:dyDescent="0.3">
      <c r="A814" s="20"/>
      <c r="B814" s="36"/>
      <c r="C814" s="36"/>
      <c r="D814" s="36"/>
      <c r="E814" s="36"/>
      <c r="F814" s="36"/>
      <c r="G814" s="36"/>
    </row>
    <row r="815" spans="1:7" ht="14.4" x14ac:dyDescent="0.3">
      <c r="A815" s="20"/>
      <c r="B815" s="36"/>
      <c r="C815" s="36"/>
      <c r="D815" s="36"/>
      <c r="E815" s="36"/>
      <c r="F815" s="36"/>
      <c r="G815" s="36"/>
    </row>
    <row r="816" spans="1:7" ht="14.4" x14ac:dyDescent="0.3">
      <c r="A816" s="20"/>
      <c r="B816" s="36"/>
      <c r="C816" s="36"/>
      <c r="D816" s="36"/>
      <c r="E816" s="36"/>
      <c r="F816" s="36"/>
      <c r="G816" s="36"/>
    </row>
    <row r="817" spans="1:7" ht="14.4" x14ac:dyDescent="0.3">
      <c r="A817" s="20"/>
      <c r="B817" s="36"/>
      <c r="C817" s="36"/>
      <c r="D817" s="36"/>
      <c r="E817" s="36"/>
      <c r="F817" s="36"/>
      <c r="G817" s="36"/>
    </row>
    <row r="818" spans="1:7" ht="14.4" x14ac:dyDescent="0.3">
      <c r="A818" s="20"/>
      <c r="B818" s="36"/>
      <c r="C818" s="36"/>
      <c r="D818" s="36"/>
      <c r="E818" s="36"/>
      <c r="F818" s="36"/>
      <c r="G818" s="36"/>
    </row>
    <row r="819" spans="1:7" ht="14.4" x14ac:dyDescent="0.3">
      <c r="A819" s="20"/>
      <c r="B819" s="36"/>
      <c r="C819" s="36"/>
      <c r="D819" s="36"/>
      <c r="E819" s="36"/>
      <c r="F819" s="36"/>
      <c r="G819" s="36"/>
    </row>
    <row r="820" spans="1:7" ht="14.4" x14ac:dyDescent="0.3">
      <c r="A820" s="20"/>
      <c r="B820" s="36"/>
      <c r="C820" s="36"/>
      <c r="D820" s="36"/>
      <c r="E820" s="36"/>
      <c r="F820" s="36"/>
      <c r="G820" s="36"/>
    </row>
    <row r="821" spans="1:7" ht="14.4" x14ac:dyDescent="0.3">
      <c r="A821" s="20"/>
      <c r="B821" s="36"/>
      <c r="C821" s="36"/>
      <c r="D821" s="36"/>
      <c r="E821" s="36"/>
      <c r="F821" s="36"/>
      <c r="G821" s="36"/>
    </row>
    <row r="822" spans="1:7" ht="14.4" x14ac:dyDescent="0.3">
      <c r="A822" s="20"/>
      <c r="B822" s="36"/>
      <c r="C822" s="36"/>
      <c r="D822" s="36"/>
      <c r="E822" s="36"/>
      <c r="F822" s="36"/>
      <c r="G822" s="36"/>
    </row>
    <row r="823" spans="1:7" ht="14.4" x14ac:dyDescent="0.3">
      <c r="A823" s="20"/>
      <c r="B823" s="36"/>
      <c r="C823" s="36"/>
      <c r="D823" s="36"/>
      <c r="E823" s="36"/>
      <c r="F823" s="36"/>
      <c r="G823" s="36"/>
    </row>
    <row r="824" spans="1:7" ht="14.4" x14ac:dyDescent="0.3">
      <c r="A824" s="20"/>
      <c r="B824" s="36"/>
      <c r="C824" s="36"/>
      <c r="D824" s="36"/>
      <c r="E824" s="36"/>
      <c r="F824" s="36"/>
      <c r="G824" s="36"/>
    </row>
    <row r="825" spans="1:7" ht="14.4" x14ac:dyDescent="0.3">
      <c r="A825" s="20"/>
      <c r="B825" s="36"/>
      <c r="C825" s="36"/>
      <c r="D825" s="36"/>
      <c r="E825" s="36"/>
      <c r="F825" s="36"/>
      <c r="G825" s="36"/>
    </row>
    <row r="826" spans="1:7" ht="14.4" x14ac:dyDescent="0.3">
      <c r="A826" s="20"/>
      <c r="B826" s="36"/>
      <c r="C826" s="36"/>
      <c r="D826" s="36"/>
      <c r="E826" s="36"/>
      <c r="F826" s="36"/>
      <c r="G826" s="36"/>
    </row>
    <row r="827" spans="1:7" ht="14.4" x14ac:dyDescent="0.3">
      <c r="A827" s="20"/>
      <c r="B827" s="36"/>
      <c r="C827" s="36"/>
      <c r="D827" s="36"/>
      <c r="E827" s="36"/>
      <c r="F827" s="36"/>
      <c r="G827" s="36"/>
    </row>
    <row r="828" spans="1:7" ht="14.4" x14ac:dyDescent="0.3">
      <c r="A828" s="20"/>
      <c r="B828" s="36"/>
      <c r="C828" s="36"/>
      <c r="D828" s="36"/>
      <c r="E828" s="36"/>
      <c r="F828" s="36"/>
      <c r="G828" s="36"/>
    </row>
    <row r="829" spans="1:7" ht="14.4" x14ac:dyDescent="0.3">
      <c r="A829" s="20"/>
      <c r="B829" s="36"/>
      <c r="C829" s="36"/>
      <c r="D829" s="36"/>
      <c r="E829" s="36"/>
      <c r="F829" s="36"/>
      <c r="G829" s="36"/>
    </row>
    <row r="830" spans="1:7" ht="14.4" x14ac:dyDescent="0.3">
      <c r="A830" s="20"/>
      <c r="B830" s="36"/>
      <c r="C830" s="36"/>
      <c r="D830" s="36"/>
      <c r="E830" s="36"/>
      <c r="F830" s="36"/>
      <c r="G830" s="36"/>
    </row>
    <row r="831" spans="1:7" ht="14.4" x14ac:dyDescent="0.3">
      <c r="A831" s="20"/>
      <c r="B831" s="36"/>
      <c r="C831" s="36"/>
      <c r="D831" s="36"/>
      <c r="E831" s="36"/>
      <c r="F831" s="36"/>
      <c r="G831" s="36"/>
    </row>
    <row r="832" spans="1:7" ht="14.4" x14ac:dyDescent="0.3">
      <c r="A832" s="20"/>
      <c r="B832" s="36"/>
      <c r="C832" s="36"/>
      <c r="D832" s="36"/>
      <c r="E832" s="36"/>
      <c r="F832" s="36"/>
      <c r="G832" s="36"/>
    </row>
    <row r="833" spans="1:7" ht="14.4" x14ac:dyDescent="0.3">
      <c r="A833" s="20"/>
      <c r="B833" s="36"/>
      <c r="C833" s="36"/>
      <c r="D833" s="36"/>
      <c r="E833" s="36"/>
      <c r="F833" s="36"/>
      <c r="G833" s="36"/>
    </row>
    <row r="834" spans="1:7" ht="14.4" x14ac:dyDescent="0.3">
      <c r="A834" s="20"/>
      <c r="B834" s="36"/>
      <c r="C834" s="36"/>
      <c r="D834" s="36"/>
      <c r="E834" s="36"/>
      <c r="F834" s="36"/>
      <c r="G834" s="36"/>
    </row>
    <row r="835" spans="1:7" ht="14.4" x14ac:dyDescent="0.3">
      <c r="A835" s="20"/>
      <c r="B835" s="36"/>
      <c r="C835" s="36"/>
      <c r="D835" s="36"/>
      <c r="E835" s="36"/>
      <c r="F835" s="36"/>
      <c r="G835" s="36"/>
    </row>
    <row r="836" spans="1:7" ht="14.4" x14ac:dyDescent="0.3">
      <c r="A836" s="20"/>
      <c r="B836" s="36"/>
      <c r="C836" s="36"/>
      <c r="D836" s="36"/>
      <c r="E836" s="36"/>
      <c r="F836" s="36"/>
      <c r="G836" s="36"/>
    </row>
    <row r="837" spans="1:7" ht="14.4" x14ac:dyDescent="0.3">
      <c r="A837" s="20"/>
      <c r="B837" s="36"/>
      <c r="C837" s="36"/>
      <c r="D837" s="36"/>
      <c r="E837" s="36"/>
      <c r="F837" s="36"/>
      <c r="G837" s="36"/>
    </row>
    <row r="838" spans="1:7" ht="14.4" x14ac:dyDescent="0.3">
      <c r="A838" s="20"/>
      <c r="B838" s="36"/>
      <c r="C838" s="36"/>
      <c r="D838" s="36"/>
      <c r="E838" s="36"/>
      <c r="F838" s="36"/>
      <c r="G838" s="36"/>
    </row>
    <row r="839" spans="1:7" ht="14.4" x14ac:dyDescent="0.3">
      <c r="A839" s="20"/>
      <c r="B839" s="36"/>
      <c r="C839" s="36"/>
      <c r="D839" s="36"/>
      <c r="E839" s="36"/>
      <c r="F839" s="36"/>
      <c r="G839" s="36"/>
    </row>
    <row r="840" spans="1:7" ht="14.4" x14ac:dyDescent="0.3">
      <c r="A840" s="20"/>
      <c r="B840" s="36"/>
      <c r="C840" s="36"/>
      <c r="D840" s="36"/>
      <c r="E840" s="36"/>
      <c r="F840" s="36"/>
      <c r="G840" s="36"/>
    </row>
    <row r="841" spans="1:7" ht="14.4" x14ac:dyDescent="0.3">
      <c r="A841" s="20"/>
      <c r="B841" s="36"/>
      <c r="C841" s="36"/>
      <c r="D841" s="36"/>
      <c r="E841" s="36"/>
      <c r="F841" s="36"/>
      <c r="G841" s="36"/>
    </row>
    <row r="842" spans="1:7" ht="14.4" x14ac:dyDescent="0.3">
      <c r="A842" s="20"/>
      <c r="B842" s="36"/>
      <c r="C842" s="36"/>
      <c r="D842" s="36"/>
      <c r="E842" s="36"/>
      <c r="F842" s="36"/>
      <c r="G842" s="36"/>
    </row>
    <row r="843" spans="1:7" ht="14.4" x14ac:dyDescent="0.3">
      <c r="A843" s="20"/>
      <c r="B843" s="36"/>
      <c r="C843" s="36"/>
      <c r="D843" s="36"/>
      <c r="E843" s="36"/>
      <c r="F843" s="36"/>
      <c r="G843" s="36"/>
    </row>
    <row r="844" spans="1:7" ht="14.4" x14ac:dyDescent="0.3">
      <c r="A844" s="20"/>
      <c r="B844" s="36"/>
      <c r="C844" s="36"/>
      <c r="D844" s="36"/>
      <c r="E844" s="36"/>
      <c r="F844" s="36"/>
      <c r="G844" s="36"/>
    </row>
    <row r="845" spans="1:7" ht="14.4" x14ac:dyDescent="0.3">
      <c r="A845" s="20"/>
      <c r="B845" s="36"/>
      <c r="C845" s="36"/>
      <c r="D845" s="36"/>
      <c r="E845" s="36"/>
      <c r="F845" s="36"/>
      <c r="G845" s="36"/>
    </row>
    <row r="846" spans="1:7" ht="14.4" x14ac:dyDescent="0.3">
      <c r="A846" s="20"/>
      <c r="B846" s="36"/>
      <c r="C846" s="36"/>
      <c r="D846" s="36"/>
      <c r="E846" s="36"/>
      <c r="F846" s="36"/>
      <c r="G846" s="36"/>
    </row>
    <row r="847" spans="1:7" ht="14.4" x14ac:dyDescent="0.3">
      <c r="A847" s="20"/>
      <c r="B847" s="36"/>
      <c r="C847" s="36"/>
      <c r="D847" s="36"/>
      <c r="E847" s="36"/>
      <c r="F847" s="36"/>
      <c r="G847" s="36"/>
    </row>
    <row r="848" spans="1:7" ht="14.4" x14ac:dyDescent="0.3">
      <c r="A848" s="20"/>
      <c r="B848" s="36"/>
      <c r="C848" s="36"/>
      <c r="D848" s="36"/>
      <c r="E848" s="36"/>
      <c r="F848" s="36"/>
      <c r="G848" s="36"/>
    </row>
    <row r="849" spans="1:7" ht="14.4" x14ac:dyDescent="0.3">
      <c r="A849" s="20"/>
      <c r="B849" s="36"/>
      <c r="C849" s="36"/>
      <c r="D849" s="36"/>
      <c r="E849" s="36"/>
      <c r="F849" s="36"/>
      <c r="G849" s="36"/>
    </row>
    <row r="850" spans="1:7" ht="14.4" x14ac:dyDescent="0.3">
      <c r="A850" s="20"/>
      <c r="B850" s="36"/>
      <c r="C850" s="36"/>
      <c r="D850" s="36"/>
      <c r="E850" s="36"/>
      <c r="F850" s="36"/>
      <c r="G850" s="36"/>
    </row>
    <row r="851" spans="1:7" ht="14.4" x14ac:dyDescent="0.3">
      <c r="A851" s="20"/>
      <c r="B851" s="36"/>
      <c r="C851" s="36"/>
      <c r="D851" s="36"/>
      <c r="E851" s="36"/>
      <c r="F851" s="36"/>
      <c r="G851" s="36"/>
    </row>
    <row r="852" spans="1:7" ht="14.4" x14ac:dyDescent="0.3">
      <c r="A852" s="20"/>
      <c r="B852" s="36"/>
      <c r="C852" s="36"/>
      <c r="D852" s="36"/>
      <c r="E852" s="36"/>
      <c r="F852" s="36"/>
      <c r="G852" s="36"/>
    </row>
    <row r="853" spans="1:7" ht="14.4" x14ac:dyDescent="0.3">
      <c r="A853" s="20"/>
      <c r="B853" s="36"/>
      <c r="C853" s="36"/>
      <c r="D853" s="36"/>
      <c r="E853" s="36"/>
      <c r="F853" s="36"/>
      <c r="G853" s="36"/>
    </row>
    <row r="854" spans="1:7" ht="14.4" x14ac:dyDescent="0.3">
      <c r="A854" s="20"/>
      <c r="B854" s="36"/>
      <c r="C854" s="36"/>
      <c r="D854" s="36"/>
      <c r="E854" s="36"/>
      <c r="F854" s="36"/>
      <c r="G854" s="36"/>
    </row>
    <row r="855" spans="1:7" ht="14.4" x14ac:dyDescent="0.3">
      <c r="A855" s="20"/>
      <c r="B855" s="36"/>
      <c r="C855" s="36"/>
      <c r="D855" s="36"/>
      <c r="E855" s="36"/>
      <c r="F855" s="36"/>
      <c r="G855" s="36"/>
    </row>
    <row r="856" spans="1:7" ht="14.4" x14ac:dyDescent="0.3">
      <c r="A856" s="20"/>
      <c r="B856" s="36"/>
      <c r="C856" s="36"/>
      <c r="D856" s="36"/>
      <c r="E856" s="36"/>
      <c r="F856" s="36"/>
      <c r="G856" s="36"/>
    </row>
    <row r="857" spans="1:7" ht="14.4" x14ac:dyDescent="0.3">
      <c r="A857" s="20"/>
      <c r="B857" s="36"/>
      <c r="C857" s="36"/>
      <c r="D857" s="36"/>
      <c r="E857" s="36"/>
      <c r="F857" s="36"/>
      <c r="G857" s="36"/>
    </row>
    <row r="858" spans="1:7" ht="14.4" x14ac:dyDescent="0.3">
      <c r="A858" s="20"/>
      <c r="B858" s="36"/>
      <c r="C858" s="36"/>
      <c r="D858" s="36"/>
      <c r="E858" s="36"/>
      <c r="F858" s="36"/>
      <c r="G858" s="36"/>
    </row>
    <row r="859" spans="1:7" ht="14.4" x14ac:dyDescent="0.3">
      <c r="A859" s="20"/>
      <c r="B859" s="36"/>
      <c r="C859" s="36"/>
      <c r="D859" s="36"/>
      <c r="E859" s="36"/>
      <c r="F859" s="36"/>
      <c r="G859" s="36"/>
    </row>
    <row r="860" spans="1:7" ht="14.4" x14ac:dyDescent="0.3">
      <c r="A860" s="20"/>
      <c r="B860" s="36"/>
      <c r="C860" s="36"/>
      <c r="D860" s="36"/>
      <c r="E860" s="36"/>
      <c r="F860" s="36"/>
      <c r="G860" s="36"/>
    </row>
    <row r="861" spans="1:7" ht="14.4" x14ac:dyDescent="0.3">
      <c r="A861" s="20"/>
      <c r="B861" s="36"/>
      <c r="C861" s="36"/>
      <c r="D861" s="36"/>
      <c r="E861" s="36"/>
      <c r="F861" s="36"/>
      <c r="G861" s="36"/>
    </row>
    <row r="862" spans="1:7" ht="14.4" x14ac:dyDescent="0.3">
      <c r="A862" s="20"/>
      <c r="B862" s="36"/>
      <c r="C862" s="36"/>
      <c r="D862" s="36"/>
      <c r="E862" s="36"/>
      <c r="F862" s="36"/>
      <c r="G862" s="36"/>
    </row>
    <row r="863" spans="1:7" ht="14.4" x14ac:dyDescent="0.3">
      <c r="A863" s="20"/>
      <c r="B863" s="36"/>
      <c r="C863" s="36"/>
      <c r="D863" s="36"/>
      <c r="E863" s="36"/>
      <c r="F863" s="36"/>
      <c r="G863" s="36"/>
    </row>
    <row r="864" spans="1:7" ht="14.4" x14ac:dyDescent="0.3">
      <c r="A864" s="20"/>
      <c r="B864" s="36"/>
      <c r="C864" s="36"/>
      <c r="D864" s="36"/>
      <c r="E864" s="36"/>
      <c r="F864" s="36"/>
      <c r="G864" s="36"/>
    </row>
    <row r="865" spans="1:7" ht="14.4" x14ac:dyDescent="0.3">
      <c r="A865" s="20"/>
      <c r="B865" s="36"/>
      <c r="C865" s="36"/>
      <c r="D865" s="36"/>
      <c r="E865" s="36"/>
      <c r="F865" s="36"/>
      <c r="G865" s="36"/>
    </row>
    <row r="866" spans="1:7" ht="14.4" x14ac:dyDescent="0.3">
      <c r="A866" s="20"/>
      <c r="B866" s="36"/>
      <c r="C866" s="36"/>
      <c r="D866" s="36"/>
      <c r="E866" s="36"/>
      <c r="F866" s="36"/>
      <c r="G866" s="36"/>
    </row>
    <row r="867" spans="1:7" ht="14.4" x14ac:dyDescent="0.3">
      <c r="A867" s="20"/>
      <c r="B867" s="36"/>
      <c r="C867" s="36"/>
      <c r="D867" s="36"/>
      <c r="E867" s="36"/>
      <c r="F867" s="36"/>
      <c r="G867" s="36"/>
    </row>
    <row r="868" spans="1:7" ht="14.4" x14ac:dyDescent="0.3">
      <c r="A868" s="20"/>
      <c r="B868" s="36"/>
      <c r="C868" s="36"/>
      <c r="D868" s="36"/>
      <c r="E868" s="36"/>
      <c r="F868" s="36"/>
      <c r="G868" s="36"/>
    </row>
    <row r="869" spans="1:7" ht="14.4" x14ac:dyDescent="0.3">
      <c r="A869" s="20"/>
      <c r="B869" s="36"/>
      <c r="C869" s="36"/>
      <c r="D869" s="36"/>
      <c r="E869" s="36"/>
      <c r="F869" s="36"/>
      <c r="G869" s="36"/>
    </row>
    <row r="870" spans="1:7" ht="14.4" x14ac:dyDescent="0.3">
      <c r="A870" s="20"/>
      <c r="B870" s="36"/>
      <c r="C870" s="36"/>
      <c r="D870" s="36"/>
      <c r="E870" s="36"/>
      <c r="F870" s="36"/>
      <c r="G870" s="36"/>
    </row>
    <row r="871" spans="1:7" ht="14.4" x14ac:dyDescent="0.3">
      <c r="A871" s="20"/>
      <c r="B871" s="36"/>
      <c r="C871" s="36"/>
      <c r="D871" s="36"/>
      <c r="E871" s="36"/>
      <c r="F871" s="36"/>
      <c r="G871" s="36"/>
    </row>
    <row r="872" spans="1:7" ht="14.4" x14ac:dyDescent="0.3">
      <c r="A872" s="20"/>
      <c r="B872" s="36"/>
      <c r="C872" s="36"/>
      <c r="D872" s="36"/>
      <c r="E872" s="36"/>
      <c r="F872" s="36"/>
      <c r="G872" s="36"/>
    </row>
    <row r="873" spans="1:7" ht="14.4" x14ac:dyDescent="0.3">
      <c r="A873" s="20"/>
      <c r="B873" s="36"/>
      <c r="C873" s="36"/>
      <c r="D873" s="36"/>
      <c r="E873" s="36"/>
      <c r="F873" s="36"/>
      <c r="G873" s="36"/>
    </row>
    <row r="874" spans="1:7" ht="14.4" x14ac:dyDescent="0.3">
      <c r="A874" s="20"/>
      <c r="B874" s="36"/>
      <c r="C874" s="36"/>
      <c r="D874" s="36"/>
      <c r="E874" s="36"/>
      <c r="F874" s="36"/>
      <c r="G874" s="36"/>
    </row>
    <row r="875" spans="1:7" ht="14.4" x14ac:dyDescent="0.3">
      <c r="A875" s="20"/>
      <c r="B875" s="36"/>
      <c r="C875" s="36"/>
      <c r="D875" s="36"/>
      <c r="E875" s="36"/>
      <c r="F875" s="36"/>
      <c r="G875" s="36"/>
    </row>
    <row r="876" spans="1:7" ht="14.4" x14ac:dyDescent="0.3">
      <c r="A876" s="20"/>
      <c r="B876" s="36"/>
      <c r="C876" s="36"/>
      <c r="D876" s="36"/>
      <c r="E876" s="36"/>
      <c r="F876" s="36"/>
      <c r="G876" s="36"/>
    </row>
    <row r="877" spans="1:7" ht="14.4" x14ac:dyDescent="0.3">
      <c r="A877" s="20"/>
      <c r="B877" s="36"/>
      <c r="C877" s="36"/>
      <c r="D877" s="36"/>
      <c r="E877" s="36"/>
      <c r="F877" s="36"/>
      <c r="G877" s="36"/>
    </row>
    <row r="878" spans="1:7" ht="14.4" x14ac:dyDescent="0.3">
      <c r="A878" s="20"/>
      <c r="B878" s="36"/>
      <c r="C878" s="36"/>
      <c r="D878" s="36"/>
      <c r="E878" s="36"/>
      <c r="F878" s="36"/>
      <c r="G878" s="36"/>
    </row>
    <row r="879" spans="1:7" ht="14.4" x14ac:dyDescent="0.3">
      <c r="A879" s="20"/>
      <c r="B879" s="36"/>
      <c r="C879" s="36"/>
      <c r="D879" s="36"/>
      <c r="E879" s="36"/>
      <c r="F879" s="36"/>
      <c r="G879" s="36"/>
    </row>
    <row r="880" spans="1:7" ht="14.4" x14ac:dyDescent="0.3">
      <c r="A880" s="20"/>
      <c r="B880" s="36"/>
      <c r="C880" s="36"/>
      <c r="D880" s="36"/>
      <c r="E880" s="36"/>
      <c r="F880" s="36"/>
      <c r="G880" s="36"/>
    </row>
    <row r="881" spans="1:7" ht="14.4" x14ac:dyDescent="0.3">
      <c r="A881" s="20"/>
      <c r="B881" s="36"/>
      <c r="C881" s="36"/>
      <c r="D881" s="36"/>
      <c r="E881" s="36"/>
      <c r="F881" s="36"/>
      <c r="G881" s="36"/>
    </row>
    <row r="882" spans="1:7" ht="14.4" x14ac:dyDescent="0.3">
      <c r="A882" s="20"/>
      <c r="B882" s="36"/>
      <c r="C882" s="36"/>
      <c r="D882" s="36"/>
      <c r="E882" s="36"/>
      <c r="F882" s="36"/>
      <c r="G882" s="36"/>
    </row>
    <row r="883" spans="1:7" ht="14.4" x14ac:dyDescent="0.3">
      <c r="A883" s="20"/>
      <c r="B883" s="36"/>
      <c r="C883" s="36"/>
      <c r="D883" s="36"/>
      <c r="E883" s="36"/>
      <c r="F883" s="36"/>
      <c r="G883" s="36"/>
    </row>
    <row r="884" spans="1:7" ht="14.4" x14ac:dyDescent="0.3">
      <c r="A884" s="20"/>
      <c r="B884" s="36"/>
      <c r="C884" s="36"/>
      <c r="D884" s="36"/>
      <c r="E884" s="36"/>
      <c r="F884" s="36"/>
      <c r="G884" s="36"/>
    </row>
    <row r="885" spans="1:7" ht="14.4" x14ac:dyDescent="0.3">
      <c r="A885" s="20"/>
      <c r="B885" s="36"/>
      <c r="C885" s="36"/>
      <c r="D885" s="36"/>
      <c r="E885" s="36"/>
      <c r="F885" s="36"/>
      <c r="G885" s="36"/>
    </row>
    <row r="886" spans="1:7" ht="14.4" x14ac:dyDescent="0.3">
      <c r="A886" s="20"/>
      <c r="B886" s="36"/>
      <c r="C886" s="36"/>
      <c r="D886" s="36"/>
      <c r="E886" s="36"/>
      <c r="F886" s="36"/>
      <c r="G886" s="36"/>
    </row>
    <row r="887" spans="1:7" ht="14.4" x14ac:dyDescent="0.3">
      <c r="A887" s="20"/>
      <c r="B887" s="36"/>
      <c r="C887" s="36"/>
      <c r="D887" s="36"/>
      <c r="E887" s="36"/>
      <c r="F887" s="36"/>
      <c r="G887" s="36"/>
    </row>
    <row r="888" spans="1:7" ht="14.4" x14ac:dyDescent="0.3">
      <c r="A888" s="20"/>
      <c r="B888" s="36"/>
      <c r="C888" s="36"/>
      <c r="D888" s="36"/>
      <c r="E888" s="36"/>
      <c r="F888" s="36"/>
      <c r="G888" s="36"/>
    </row>
    <row r="889" spans="1:7" ht="14.4" x14ac:dyDescent="0.3">
      <c r="A889" s="20"/>
      <c r="B889" s="36"/>
      <c r="C889" s="36"/>
      <c r="D889" s="36"/>
      <c r="E889" s="36"/>
      <c r="F889" s="36"/>
      <c r="G889" s="36"/>
    </row>
    <row r="890" spans="1:7" ht="14.4" x14ac:dyDescent="0.3">
      <c r="A890" s="20"/>
      <c r="B890" s="36"/>
      <c r="C890" s="36"/>
      <c r="D890" s="36"/>
      <c r="E890" s="36"/>
      <c r="F890" s="36"/>
      <c r="G890" s="36"/>
    </row>
    <row r="891" spans="1:7" ht="14.4" x14ac:dyDescent="0.3">
      <c r="A891" s="20"/>
      <c r="B891" s="36"/>
      <c r="C891" s="36"/>
      <c r="D891" s="36"/>
      <c r="E891" s="36"/>
      <c r="F891" s="36"/>
      <c r="G891" s="36"/>
    </row>
    <row r="892" spans="1:7" ht="14.4" x14ac:dyDescent="0.3">
      <c r="A892" s="20"/>
      <c r="B892" s="36"/>
      <c r="C892" s="36"/>
      <c r="D892" s="36"/>
      <c r="E892" s="36"/>
      <c r="F892" s="36"/>
      <c r="G892" s="36"/>
    </row>
    <row r="893" spans="1:7" ht="14.4" x14ac:dyDescent="0.3">
      <c r="A893" s="20"/>
      <c r="B893" s="36"/>
      <c r="C893" s="36"/>
      <c r="D893" s="36"/>
      <c r="E893" s="36"/>
      <c r="F893" s="36"/>
      <c r="G893" s="36"/>
    </row>
    <row r="894" spans="1:7" ht="14.4" x14ac:dyDescent="0.3">
      <c r="A894" s="20"/>
      <c r="B894" s="36"/>
      <c r="C894" s="36"/>
      <c r="D894" s="36"/>
      <c r="E894" s="36"/>
      <c r="F894" s="36"/>
      <c r="G894" s="36"/>
    </row>
    <row r="895" spans="1:7" ht="14.4" x14ac:dyDescent="0.3">
      <c r="A895" s="20"/>
      <c r="B895" s="36"/>
      <c r="C895" s="36"/>
      <c r="D895" s="36"/>
      <c r="E895" s="36"/>
      <c r="F895" s="36"/>
      <c r="G895" s="36"/>
    </row>
    <row r="896" spans="1:7" ht="14.4" x14ac:dyDescent="0.3">
      <c r="A896" s="20"/>
      <c r="B896" s="36"/>
      <c r="C896" s="36"/>
      <c r="D896" s="36"/>
      <c r="E896" s="36"/>
      <c r="F896" s="36"/>
      <c r="G896" s="36"/>
    </row>
    <row r="897" spans="1:7" ht="14.4" x14ac:dyDescent="0.3">
      <c r="A897" s="20"/>
      <c r="B897" s="36"/>
      <c r="C897" s="36"/>
      <c r="D897" s="36"/>
      <c r="E897" s="36"/>
      <c r="F897" s="36"/>
      <c r="G897" s="36"/>
    </row>
    <row r="898" spans="1:7" ht="14.4" x14ac:dyDescent="0.3">
      <c r="A898" s="20"/>
      <c r="B898" s="36"/>
      <c r="C898" s="36"/>
      <c r="D898" s="36"/>
      <c r="E898" s="36"/>
      <c r="F898" s="36"/>
      <c r="G898" s="36"/>
    </row>
    <row r="899" spans="1:7" ht="14.4" x14ac:dyDescent="0.3">
      <c r="A899" s="20"/>
      <c r="B899" s="36"/>
      <c r="C899" s="36"/>
      <c r="D899" s="36"/>
      <c r="E899" s="36"/>
      <c r="F899" s="36"/>
      <c r="G899" s="36"/>
    </row>
    <row r="900" spans="1:7" ht="14.4" x14ac:dyDescent="0.3">
      <c r="A900" s="20"/>
      <c r="B900" s="36"/>
      <c r="C900" s="36"/>
      <c r="D900" s="36"/>
      <c r="E900" s="36"/>
      <c r="F900" s="36"/>
      <c r="G900" s="36"/>
    </row>
    <row r="901" spans="1:7" ht="14.4" x14ac:dyDescent="0.3">
      <c r="A901" s="20"/>
      <c r="B901" s="36"/>
      <c r="C901" s="36"/>
      <c r="D901" s="36"/>
      <c r="E901" s="36"/>
      <c r="F901" s="36"/>
      <c r="G901" s="36"/>
    </row>
    <row r="902" spans="1:7" ht="14.4" x14ac:dyDescent="0.3">
      <c r="A902" s="20"/>
      <c r="B902" s="36"/>
      <c r="C902" s="36"/>
      <c r="D902" s="36"/>
      <c r="E902" s="36"/>
      <c r="F902" s="36"/>
      <c r="G902" s="36"/>
    </row>
    <row r="903" spans="1:7" ht="14.4" x14ac:dyDescent="0.3">
      <c r="A903" s="20"/>
      <c r="B903" s="36"/>
      <c r="C903" s="36"/>
      <c r="D903" s="36"/>
      <c r="E903" s="36"/>
      <c r="F903" s="36"/>
      <c r="G903" s="36"/>
    </row>
    <row r="904" spans="1:7" ht="14.4" x14ac:dyDescent="0.3">
      <c r="A904" s="20"/>
      <c r="B904" s="36"/>
      <c r="C904" s="36"/>
      <c r="D904" s="36"/>
      <c r="E904" s="36"/>
      <c r="F904" s="36"/>
      <c r="G904" s="36"/>
    </row>
    <row r="905" spans="1:7" ht="14.4" x14ac:dyDescent="0.3">
      <c r="A905" s="20"/>
      <c r="B905" s="36"/>
      <c r="C905" s="36"/>
      <c r="D905" s="36"/>
      <c r="E905" s="36"/>
      <c r="F905" s="36"/>
      <c r="G905" s="36"/>
    </row>
    <row r="906" spans="1:7" ht="14.4" x14ac:dyDescent="0.3">
      <c r="A906" s="20"/>
      <c r="B906" s="36"/>
      <c r="C906" s="36"/>
      <c r="D906" s="36"/>
      <c r="E906" s="36"/>
      <c r="F906" s="36"/>
      <c r="G906" s="36"/>
    </row>
    <row r="907" spans="1:7" ht="14.4" x14ac:dyDescent="0.3">
      <c r="A907" s="20"/>
      <c r="B907" s="36"/>
      <c r="C907" s="36"/>
      <c r="D907" s="36"/>
      <c r="E907" s="36"/>
      <c r="F907" s="36"/>
      <c r="G907" s="36"/>
    </row>
    <row r="908" spans="1:7" ht="14.4" x14ac:dyDescent="0.3">
      <c r="A908" s="20"/>
      <c r="B908" s="36"/>
      <c r="C908" s="36"/>
      <c r="D908" s="36"/>
      <c r="E908" s="36"/>
      <c r="F908" s="36"/>
      <c r="G908" s="36"/>
    </row>
    <row r="909" spans="1:7" ht="14.4" x14ac:dyDescent="0.3">
      <c r="A909" s="20"/>
      <c r="B909" s="36"/>
      <c r="C909" s="36"/>
      <c r="D909" s="36"/>
      <c r="E909" s="36"/>
      <c r="F909" s="36"/>
      <c r="G909" s="36"/>
    </row>
    <row r="910" spans="1:7" ht="14.4" x14ac:dyDescent="0.3">
      <c r="A910" s="20"/>
      <c r="B910" s="36"/>
      <c r="C910" s="36"/>
      <c r="D910" s="36"/>
      <c r="E910" s="36"/>
      <c r="F910" s="36"/>
      <c r="G910" s="36"/>
    </row>
    <row r="911" spans="1:7" ht="14.4" x14ac:dyDescent="0.3">
      <c r="A911" s="20"/>
      <c r="B911" s="36"/>
      <c r="C911" s="36"/>
      <c r="D911" s="36"/>
      <c r="E911" s="36"/>
      <c r="F911" s="36"/>
      <c r="G911" s="36"/>
    </row>
    <row r="912" spans="1:7" ht="14.4" x14ac:dyDescent="0.3">
      <c r="A912" s="20"/>
      <c r="B912" s="36"/>
      <c r="C912" s="36"/>
      <c r="D912" s="36"/>
      <c r="E912" s="36"/>
      <c r="F912" s="36"/>
      <c r="G912" s="36"/>
    </row>
    <row r="913" spans="1:7" ht="14.4" x14ac:dyDescent="0.3">
      <c r="A913" s="20"/>
      <c r="B913" s="36"/>
      <c r="C913" s="36"/>
      <c r="D913" s="36"/>
      <c r="E913" s="36"/>
      <c r="F913" s="36"/>
      <c r="G913" s="36"/>
    </row>
    <row r="914" spans="1:7" ht="14.4" x14ac:dyDescent="0.3">
      <c r="A914" s="20"/>
      <c r="B914" s="36"/>
      <c r="C914" s="36"/>
      <c r="D914" s="36"/>
      <c r="E914" s="36"/>
      <c r="F914" s="36"/>
      <c r="G914" s="36"/>
    </row>
    <row r="915" spans="1:7" ht="14.4" x14ac:dyDescent="0.3">
      <c r="A915" s="20"/>
      <c r="B915" s="36"/>
      <c r="C915" s="36"/>
      <c r="D915" s="36"/>
      <c r="E915" s="36"/>
      <c r="F915" s="36"/>
      <c r="G915" s="36"/>
    </row>
    <row r="916" spans="1:7" ht="14.4" x14ac:dyDescent="0.3">
      <c r="A916" s="20"/>
      <c r="B916" s="36"/>
      <c r="C916" s="36"/>
      <c r="D916" s="36"/>
      <c r="E916" s="36"/>
      <c r="F916" s="36"/>
      <c r="G916" s="36"/>
    </row>
    <row r="917" spans="1:7" ht="14.4" x14ac:dyDescent="0.3">
      <c r="A917" s="20"/>
      <c r="B917" s="36"/>
      <c r="C917" s="36"/>
      <c r="D917" s="36"/>
      <c r="E917" s="36"/>
      <c r="F917" s="36"/>
      <c r="G917" s="36"/>
    </row>
    <row r="918" spans="1:7" ht="14.4" x14ac:dyDescent="0.3">
      <c r="A918" s="20"/>
      <c r="B918" s="36"/>
      <c r="C918" s="36"/>
      <c r="D918" s="36"/>
      <c r="E918" s="36"/>
      <c r="F918" s="36"/>
      <c r="G918" s="36"/>
    </row>
    <row r="919" spans="1:7" ht="14.4" x14ac:dyDescent="0.3">
      <c r="A919" s="20"/>
      <c r="B919" s="36"/>
      <c r="C919" s="36"/>
      <c r="D919" s="36"/>
      <c r="E919" s="36"/>
      <c r="F919" s="36"/>
      <c r="G919" s="36"/>
    </row>
    <row r="920" spans="1:7" ht="14.4" x14ac:dyDescent="0.3">
      <c r="A920" s="20"/>
      <c r="B920" s="36"/>
      <c r="C920" s="36"/>
      <c r="D920" s="36"/>
      <c r="E920" s="36"/>
      <c r="F920" s="36"/>
      <c r="G920" s="36"/>
    </row>
    <row r="921" spans="1:7" ht="14.4" x14ac:dyDescent="0.3">
      <c r="A921" s="20"/>
      <c r="B921" s="36"/>
      <c r="C921" s="36"/>
      <c r="D921" s="36"/>
      <c r="E921" s="36"/>
      <c r="F921" s="36"/>
      <c r="G921" s="36"/>
    </row>
    <row r="922" spans="1:7" ht="14.4" x14ac:dyDescent="0.3">
      <c r="A922" s="20"/>
      <c r="B922" s="36"/>
      <c r="C922" s="36"/>
      <c r="D922" s="36"/>
      <c r="E922" s="36"/>
      <c r="F922" s="36"/>
      <c r="G922" s="36"/>
    </row>
    <row r="923" spans="1:7" ht="14.4" x14ac:dyDescent="0.3">
      <c r="A923" s="20"/>
      <c r="B923" s="36"/>
      <c r="C923" s="36"/>
      <c r="D923" s="36"/>
      <c r="E923" s="36"/>
      <c r="F923" s="36"/>
      <c r="G923" s="36"/>
    </row>
    <row r="924" spans="1:7" ht="14.4" x14ac:dyDescent="0.3">
      <c r="A924" s="20"/>
      <c r="B924" s="36"/>
      <c r="C924" s="36"/>
      <c r="D924" s="36"/>
      <c r="E924" s="36"/>
      <c r="F924" s="36"/>
      <c r="G924" s="36"/>
    </row>
    <row r="925" spans="1:7" ht="14.4" x14ac:dyDescent="0.3">
      <c r="A925" s="20"/>
      <c r="B925" s="36"/>
      <c r="C925" s="36"/>
      <c r="D925" s="36"/>
      <c r="E925" s="36"/>
      <c r="F925" s="36"/>
      <c r="G925" s="36"/>
    </row>
    <row r="926" spans="1:7" ht="14.4" x14ac:dyDescent="0.3">
      <c r="A926" s="20"/>
      <c r="B926" s="36"/>
      <c r="C926" s="36"/>
      <c r="D926" s="36"/>
      <c r="E926" s="36"/>
      <c r="F926" s="36"/>
      <c r="G926" s="36"/>
    </row>
    <row r="927" spans="1:7" ht="14.4" x14ac:dyDescent="0.3">
      <c r="A927" s="20"/>
      <c r="B927" s="36"/>
      <c r="C927" s="36"/>
      <c r="D927" s="36"/>
      <c r="E927" s="36"/>
      <c r="F927" s="36"/>
      <c r="G927" s="36"/>
    </row>
    <row r="928" spans="1:7" ht="14.4" x14ac:dyDescent="0.3">
      <c r="A928" s="20"/>
      <c r="B928" s="36"/>
      <c r="C928" s="36"/>
      <c r="D928" s="36"/>
      <c r="E928" s="36"/>
      <c r="F928" s="36"/>
      <c r="G928" s="36"/>
    </row>
    <row r="929" spans="1:7" ht="14.4" x14ac:dyDescent="0.3">
      <c r="A929" s="20"/>
      <c r="B929" s="36"/>
      <c r="C929" s="36"/>
      <c r="D929" s="36"/>
      <c r="E929" s="36"/>
      <c r="F929" s="36"/>
      <c r="G929" s="36"/>
    </row>
    <row r="930" spans="1:7" ht="14.4" x14ac:dyDescent="0.3">
      <c r="A930" s="20"/>
      <c r="B930" s="36"/>
      <c r="C930" s="36"/>
      <c r="D930" s="36"/>
      <c r="E930" s="36"/>
      <c r="F930" s="36"/>
      <c r="G930" s="36"/>
    </row>
    <row r="931" spans="1:7" ht="14.4" x14ac:dyDescent="0.3">
      <c r="A931" s="20"/>
      <c r="B931" s="36"/>
      <c r="C931" s="36"/>
      <c r="D931" s="36"/>
      <c r="E931" s="36"/>
      <c r="F931" s="36"/>
      <c r="G931" s="36"/>
    </row>
    <row r="932" spans="1:7" ht="14.4" x14ac:dyDescent="0.3">
      <c r="A932" s="20"/>
      <c r="B932" s="36"/>
      <c r="C932" s="36"/>
      <c r="D932" s="36"/>
      <c r="E932" s="36"/>
      <c r="F932" s="36"/>
      <c r="G932" s="36"/>
    </row>
    <row r="933" spans="1:7" ht="14.4" x14ac:dyDescent="0.3">
      <c r="A933" s="20"/>
      <c r="B933" s="36"/>
      <c r="C933" s="36"/>
      <c r="D933" s="36"/>
      <c r="E933" s="36"/>
      <c r="F933" s="36"/>
      <c r="G933" s="36"/>
    </row>
    <row r="934" spans="1:7" ht="14.4" x14ac:dyDescent="0.3">
      <c r="A934" s="20"/>
      <c r="B934" s="36"/>
      <c r="C934" s="36"/>
      <c r="D934" s="36"/>
      <c r="E934" s="36"/>
      <c r="F934" s="36"/>
      <c r="G934" s="36"/>
    </row>
    <row r="935" spans="1:7" ht="14.4" x14ac:dyDescent="0.3">
      <c r="A935" s="20"/>
      <c r="B935" s="36"/>
      <c r="C935" s="36"/>
      <c r="D935" s="36"/>
      <c r="E935" s="36"/>
      <c r="F935" s="36"/>
      <c r="G935" s="36"/>
    </row>
    <row r="936" spans="1:7" ht="14.4" x14ac:dyDescent="0.3">
      <c r="A936" s="20"/>
      <c r="B936" s="36"/>
      <c r="C936" s="36"/>
      <c r="D936" s="36"/>
      <c r="E936" s="36"/>
      <c r="F936" s="36"/>
      <c r="G936" s="36"/>
    </row>
    <row r="937" spans="1:7" ht="14.4" x14ac:dyDescent="0.3">
      <c r="A937" s="20"/>
      <c r="B937" s="36"/>
      <c r="C937" s="36"/>
      <c r="D937" s="36"/>
      <c r="E937" s="36"/>
      <c r="F937" s="36"/>
      <c r="G937" s="36"/>
    </row>
    <row r="938" spans="1:7" ht="14.4" x14ac:dyDescent="0.3">
      <c r="A938" s="20"/>
      <c r="B938" s="36"/>
      <c r="C938" s="36"/>
      <c r="D938" s="36"/>
      <c r="E938" s="36"/>
      <c r="F938" s="36"/>
      <c r="G938" s="36"/>
    </row>
    <row r="939" spans="1:7" ht="14.4" x14ac:dyDescent="0.3">
      <c r="A939" s="20"/>
      <c r="B939" s="36"/>
      <c r="C939" s="36"/>
      <c r="D939" s="36"/>
      <c r="E939" s="36"/>
      <c r="F939" s="36"/>
      <c r="G939" s="36"/>
    </row>
    <row r="940" spans="1:7" ht="14.4" x14ac:dyDescent="0.3">
      <c r="A940" s="20"/>
      <c r="B940" s="36"/>
      <c r="C940" s="36"/>
      <c r="D940" s="36"/>
      <c r="E940" s="36"/>
      <c r="F940" s="36"/>
      <c r="G940" s="36"/>
    </row>
    <row r="941" spans="1:7" ht="14.4" x14ac:dyDescent="0.3">
      <c r="A941" s="20"/>
      <c r="B941" s="36"/>
      <c r="C941" s="36"/>
      <c r="D941" s="36"/>
      <c r="E941" s="36"/>
      <c r="F941" s="36"/>
      <c r="G941" s="36"/>
    </row>
    <row r="942" spans="1:7" ht="14.4" x14ac:dyDescent="0.3">
      <c r="A942" s="20"/>
      <c r="B942" s="36"/>
      <c r="C942" s="36"/>
      <c r="D942" s="36"/>
      <c r="E942" s="36"/>
      <c r="F942" s="36"/>
      <c r="G942" s="36"/>
    </row>
    <row r="943" spans="1:7" ht="14.4" x14ac:dyDescent="0.3">
      <c r="A943" s="20"/>
      <c r="B943" s="36"/>
      <c r="C943" s="36"/>
      <c r="D943" s="36"/>
      <c r="E943" s="36"/>
      <c r="F943" s="36"/>
      <c r="G943" s="36"/>
    </row>
    <row r="944" spans="1:7" ht="14.4" x14ac:dyDescent="0.3">
      <c r="A944" s="20"/>
      <c r="B944" s="36"/>
      <c r="C944" s="36"/>
      <c r="D944" s="36"/>
      <c r="E944" s="36"/>
      <c r="F944" s="36"/>
      <c r="G944" s="36"/>
    </row>
    <row r="945" spans="1:7" ht="14.4" x14ac:dyDescent="0.3">
      <c r="A945" s="20"/>
      <c r="B945" s="36"/>
      <c r="C945" s="36"/>
      <c r="D945" s="36"/>
      <c r="E945" s="36"/>
      <c r="F945" s="36"/>
      <c r="G945" s="36"/>
    </row>
    <row r="946" spans="1:7" ht="14.4" x14ac:dyDescent="0.3">
      <c r="A946" s="20"/>
      <c r="B946" s="36"/>
      <c r="C946" s="36"/>
      <c r="D946" s="36"/>
      <c r="E946" s="36"/>
      <c r="F946" s="36"/>
      <c r="G946" s="36"/>
    </row>
    <row r="947" spans="1:7" ht="14.4" x14ac:dyDescent="0.3">
      <c r="A947" s="20"/>
      <c r="B947" s="36"/>
      <c r="C947" s="36"/>
      <c r="D947" s="36"/>
      <c r="E947" s="36"/>
      <c r="F947" s="36"/>
      <c r="G947" s="36"/>
    </row>
    <row r="948" spans="1:7" ht="14.4" x14ac:dyDescent="0.3">
      <c r="A948" s="20"/>
      <c r="B948" s="36"/>
      <c r="C948" s="36"/>
      <c r="D948" s="36"/>
      <c r="E948" s="36"/>
      <c r="F948" s="36"/>
      <c r="G948" s="36"/>
    </row>
    <row r="949" spans="1:7" ht="14.4" x14ac:dyDescent="0.3">
      <c r="A949" s="20"/>
      <c r="B949" s="36"/>
      <c r="C949" s="36"/>
      <c r="D949" s="36"/>
      <c r="E949" s="36"/>
      <c r="F949" s="36"/>
      <c r="G949" s="36"/>
    </row>
    <row r="950" spans="1:7" ht="14.4" x14ac:dyDescent="0.3">
      <c r="A950" s="20"/>
      <c r="B950" s="36"/>
      <c r="C950" s="36"/>
      <c r="D950" s="36"/>
      <c r="E950" s="36"/>
      <c r="F950" s="36"/>
      <c r="G950" s="36"/>
    </row>
    <row r="951" spans="1:7" ht="14.4" x14ac:dyDescent="0.3">
      <c r="A951" s="20"/>
      <c r="B951" s="36"/>
      <c r="C951" s="36"/>
      <c r="D951" s="36"/>
      <c r="E951" s="36"/>
      <c r="F951" s="36"/>
      <c r="G951" s="36"/>
    </row>
    <row r="952" spans="1:7" ht="14.4" x14ac:dyDescent="0.3">
      <c r="A952" s="20"/>
      <c r="B952" s="36"/>
      <c r="C952" s="36"/>
      <c r="D952" s="36"/>
      <c r="E952" s="36"/>
      <c r="F952" s="36"/>
      <c r="G952" s="36"/>
    </row>
    <row r="953" spans="1:7" ht="14.4" x14ac:dyDescent="0.3">
      <c r="A953" s="20"/>
      <c r="B953" s="36"/>
      <c r="C953" s="36"/>
      <c r="D953" s="36"/>
      <c r="E953" s="36"/>
      <c r="F953" s="36"/>
      <c r="G953" s="36"/>
    </row>
    <row r="954" spans="1:7" ht="14.4" x14ac:dyDescent="0.3">
      <c r="A954" s="20"/>
      <c r="B954" s="36"/>
      <c r="C954" s="36"/>
      <c r="D954" s="36"/>
      <c r="E954" s="36"/>
      <c r="F954" s="36"/>
      <c r="G954" s="36"/>
    </row>
    <row r="955" spans="1:7" ht="14.4" x14ac:dyDescent="0.3">
      <c r="A955" s="20"/>
      <c r="B955" s="36"/>
      <c r="C955" s="36"/>
      <c r="D955" s="36"/>
      <c r="E955" s="36"/>
      <c r="F955" s="36"/>
      <c r="G955" s="36"/>
    </row>
    <row r="956" spans="1:7" ht="14.4" x14ac:dyDescent="0.3">
      <c r="A956" s="20"/>
      <c r="B956" s="36"/>
      <c r="C956" s="36"/>
      <c r="D956" s="36"/>
      <c r="E956" s="36"/>
      <c r="F956" s="36"/>
      <c r="G956" s="36"/>
    </row>
    <row r="957" spans="1:7" ht="14.4" x14ac:dyDescent="0.3">
      <c r="A957" s="20"/>
      <c r="B957" s="36"/>
      <c r="C957" s="36"/>
      <c r="D957" s="36"/>
      <c r="E957" s="36"/>
      <c r="F957" s="36"/>
      <c r="G957" s="36"/>
    </row>
    <row r="958" spans="1:7" ht="14.4" x14ac:dyDescent="0.3">
      <c r="A958" s="20"/>
      <c r="B958" s="36"/>
      <c r="C958" s="36"/>
      <c r="D958" s="36"/>
      <c r="E958" s="36"/>
      <c r="F958" s="36"/>
      <c r="G958" s="36"/>
    </row>
    <row r="959" spans="1:7" ht="14.4" x14ac:dyDescent="0.3">
      <c r="A959" s="20"/>
      <c r="B959" s="36"/>
      <c r="C959" s="36"/>
      <c r="D959" s="36"/>
      <c r="E959" s="36"/>
      <c r="F959" s="36"/>
      <c r="G959" s="36"/>
    </row>
    <row r="960" spans="1:7" ht="14.4" x14ac:dyDescent="0.3">
      <c r="A960" s="20"/>
      <c r="B960" s="36"/>
      <c r="C960" s="36"/>
      <c r="D960" s="36"/>
      <c r="E960" s="36"/>
      <c r="F960" s="36"/>
      <c r="G960" s="36"/>
    </row>
    <row r="961" spans="1:7" ht="14.4" x14ac:dyDescent="0.3">
      <c r="A961" s="20"/>
      <c r="B961" s="36"/>
      <c r="C961" s="36"/>
      <c r="D961" s="36"/>
      <c r="E961" s="36"/>
      <c r="F961" s="36"/>
      <c r="G961" s="36"/>
    </row>
    <row r="962" spans="1:7" ht="14.4" x14ac:dyDescent="0.3">
      <c r="A962" s="20"/>
      <c r="B962" s="36"/>
      <c r="C962" s="36"/>
      <c r="D962" s="36"/>
      <c r="E962" s="36"/>
      <c r="F962" s="36"/>
      <c r="G962" s="36"/>
    </row>
    <row r="963" spans="1:7" ht="14.4" x14ac:dyDescent="0.3">
      <c r="A963" s="20"/>
      <c r="B963" s="36"/>
      <c r="C963" s="36"/>
      <c r="D963" s="36"/>
      <c r="E963" s="36"/>
      <c r="F963" s="36"/>
      <c r="G963" s="36"/>
    </row>
    <row r="964" spans="1:7" ht="14.4" x14ac:dyDescent="0.3">
      <c r="A964" s="20"/>
      <c r="B964" s="36"/>
      <c r="C964" s="36"/>
      <c r="D964" s="36"/>
      <c r="E964" s="36"/>
      <c r="F964" s="36"/>
      <c r="G964" s="36"/>
    </row>
    <row r="965" spans="1:7" ht="14.4" x14ac:dyDescent="0.3">
      <c r="A965" s="20"/>
      <c r="B965" s="36"/>
      <c r="C965" s="36"/>
      <c r="D965" s="36"/>
      <c r="E965" s="36"/>
      <c r="F965" s="36"/>
      <c r="G965" s="36"/>
    </row>
    <row r="966" spans="1:7" ht="14.4" x14ac:dyDescent="0.3">
      <c r="A966" s="20"/>
      <c r="B966" s="36"/>
      <c r="C966" s="36"/>
      <c r="D966" s="36"/>
      <c r="E966" s="36"/>
      <c r="F966" s="36"/>
      <c r="G966" s="36"/>
    </row>
    <row r="967" spans="1:7" ht="14.4" x14ac:dyDescent="0.3">
      <c r="A967" s="20"/>
      <c r="B967" s="36"/>
      <c r="C967" s="36"/>
      <c r="D967" s="36"/>
      <c r="E967" s="36"/>
      <c r="F967" s="36"/>
      <c r="G967" s="36"/>
    </row>
    <row r="968" spans="1:7" ht="14.4" x14ac:dyDescent="0.3">
      <c r="A968" s="20"/>
      <c r="B968" s="36"/>
      <c r="C968" s="36"/>
      <c r="D968" s="36"/>
      <c r="E968" s="36"/>
      <c r="F968" s="36"/>
      <c r="G968" s="36"/>
    </row>
    <row r="969" spans="1:7" ht="14.4" x14ac:dyDescent="0.3">
      <c r="A969" s="20"/>
      <c r="B969" s="36"/>
      <c r="C969" s="36"/>
      <c r="D969" s="36"/>
      <c r="E969" s="36"/>
      <c r="F969" s="36"/>
      <c r="G969" s="36"/>
    </row>
    <row r="970" spans="1:7" ht="14.4" x14ac:dyDescent="0.3">
      <c r="A970" s="20"/>
      <c r="B970" s="36"/>
      <c r="C970" s="36"/>
      <c r="D970" s="36"/>
      <c r="E970" s="36"/>
      <c r="F970" s="36"/>
      <c r="G970" s="36"/>
    </row>
    <row r="971" spans="1:7" ht="14.4" x14ac:dyDescent="0.3">
      <c r="A971" s="20"/>
      <c r="B971" s="36"/>
      <c r="C971" s="36"/>
      <c r="D971" s="36"/>
      <c r="E971" s="36"/>
      <c r="F971" s="36"/>
      <c r="G971" s="36"/>
    </row>
    <row r="972" spans="1:7" ht="14.4" x14ac:dyDescent="0.3">
      <c r="A972" s="23"/>
      <c r="B972" s="37"/>
      <c r="C972" s="37"/>
      <c r="D972" s="37"/>
      <c r="E972" s="37"/>
      <c r="F972" s="37"/>
      <c r="G972" s="37"/>
    </row>
    <row r="973" spans="1:7" ht="14.4" x14ac:dyDescent="0.3">
      <c r="A973" s="23"/>
      <c r="B973" s="37"/>
      <c r="C973" s="37"/>
      <c r="D973" s="37"/>
      <c r="E973" s="37"/>
      <c r="F973" s="37"/>
      <c r="G973" s="37"/>
    </row>
    <row r="974" spans="1:7" ht="14.4" x14ac:dyDescent="0.3">
      <c r="A974" s="23"/>
      <c r="B974" s="37"/>
      <c r="C974" s="37"/>
      <c r="D974" s="37"/>
      <c r="E974" s="37"/>
      <c r="F974" s="37"/>
      <c r="G974" s="37"/>
    </row>
    <row r="975" spans="1:7" ht="14.4" x14ac:dyDescent="0.3">
      <c r="A975" s="23"/>
      <c r="B975" s="37"/>
      <c r="C975" s="37"/>
      <c r="D975" s="37"/>
      <c r="E975" s="37"/>
      <c r="F975" s="37"/>
      <c r="G975" s="37"/>
    </row>
    <row r="976" spans="1:7" ht="14.4" x14ac:dyDescent="0.3">
      <c r="A976" s="23"/>
      <c r="B976" s="37"/>
      <c r="C976" s="37"/>
      <c r="D976" s="37"/>
      <c r="E976" s="37"/>
      <c r="F976" s="37"/>
      <c r="G976" s="37"/>
    </row>
    <row r="977" spans="1:7" ht="14.4" x14ac:dyDescent="0.3">
      <c r="A977" s="23"/>
      <c r="B977" s="37"/>
      <c r="C977" s="37"/>
      <c r="D977" s="37"/>
      <c r="E977" s="37"/>
      <c r="F977" s="37"/>
      <c r="G977" s="37"/>
    </row>
    <row r="978" spans="1:7" ht="14.4" x14ac:dyDescent="0.3">
      <c r="A978" s="23"/>
      <c r="B978" s="37"/>
      <c r="C978" s="37"/>
      <c r="D978" s="37"/>
      <c r="E978" s="37"/>
      <c r="F978" s="37"/>
      <c r="G978" s="37"/>
    </row>
    <row r="979" spans="1:7" ht="14.4" x14ac:dyDescent="0.3">
      <c r="A979" s="23"/>
      <c r="B979" s="37"/>
      <c r="C979" s="37"/>
      <c r="D979" s="37"/>
      <c r="E979" s="37"/>
      <c r="F979" s="37"/>
      <c r="G979" s="37"/>
    </row>
    <row r="980" spans="1:7" ht="14.4" x14ac:dyDescent="0.3">
      <c r="A980" s="23"/>
      <c r="B980" s="37"/>
      <c r="C980" s="37"/>
      <c r="D980" s="37"/>
      <c r="E980" s="37"/>
      <c r="F980" s="37"/>
      <c r="G980" s="37"/>
    </row>
    <row r="981" spans="1:7" ht="14.4" x14ac:dyDescent="0.3">
      <c r="B981" s="28"/>
      <c r="C981" s="28"/>
      <c r="D981" s="28"/>
      <c r="E981" s="28"/>
      <c r="F981" s="28"/>
      <c r="G981" s="28"/>
    </row>
    <row r="982" spans="1:7" ht="14.4" x14ac:dyDescent="0.3">
      <c r="B982" s="28"/>
      <c r="C982" s="28"/>
      <c r="D982" s="28"/>
      <c r="E982" s="28"/>
      <c r="F982" s="28"/>
      <c r="G982" s="28"/>
    </row>
    <row r="983" spans="1:7" ht="14.4" x14ac:dyDescent="0.3">
      <c r="B983" s="28"/>
      <c r="C983" s="28"/>
      <c r="D983" s="28"/>
      <c r="E983" s="28"/>
      <c r="F983" s="28"/>
      <c r="G983" s="28"/>
    </row>
    <row r="984" spans="1:7" ht="14.4" x14ac:dyDescent="0.3">
      <c r="B984" s="28"/>
      <c r="C984" s="28"/>
      <c r="D984" s="28"/>
      <c r="E984" s="28"/>
      <c r="F984" s="28"/>
      <c r="G984" s="28"/>
    </row>
    <row r="985" spans="1:7" ht="14.4" x14ac:dyDescent="0.3">
      <c r="B985" s="28"/>
      <c r="C985" s="28"/>
      <c r="D985" s="28"/>
      <c r="E985" s="28"/>
      <c r="F985" s="28"/>
      <c r="G985" s="28"/>
    </row>
    <row r="986" spans="1:7" ht="14.4" x14ac:dyDescent="0.3">
      <c r="B986" s="28"/>
      <c r="C986" s="28"/>
      <c r="D986" s="28"/>
      <c r="E986" s="28"/>
      <c r="F986" s="28"/>
      <c r="G986" s="28"/>
    </row>
    <row r="987" spans="1:7" ht="14.4" x14ac:dyDescent="0.3">
      <c r="B987" s="28"/>
      <c r="C987" s="28"/>
      <c r="D987" s="28"/>
      <c r="E987" s="28"/>
      <c r="F987" s="28"/>
      <c r="G987" s="28"/>
    </row>
    <row r="988" spans="1:7" ht="14.4" x14ac:dyDescent="0.3">
      <c r="B988" s="28"/>
      <c r="C988" s="28"/>
      <c r="D988" s="28"/>
      <c r="E988" s="28"/>
      <c r="F988" s="28"/>
      <c r="G988" s="28"/>
    </row>
    <row r="989" spans="1:7" ht="14.4" x14ac:dyDescent="0.3">
      <c r="B989" s="28"/>
      <c r="C989" s="28"/>
      <c r="D989" s="28"/>
      <c r="E989" s="28"/>
      <c r="F989" s="28"/>
      <c r="G989" s="28"/>
    </row>
    <row r="990" spans="1:7" ht="14.4" x14ac:dyDescent="0.3">
      <c r="B990" s="28"/>
      <c r="C990" s="28"/>
      <c r="D990" s="28"/>
      <c r="E990" s="28"/>
      <c r="F990" s="28"/>
      <c r="G990" s="28"/>
    </row>
    <row r="991" spans="1:7" ht="14.4" x14ac:dyDescent="0.3">
      <c r="B991" s="28"/>
      <c r="C991" s="28"/>
      <c r="D991" s="28"/>
      <c r="E991" s="28"/>
      <c r="F991" s="28"/>
      <c r="G991" s="28"/>
    </row>
    <row r="992" spans="1:7" ht="14.4" x14ac:dyDescent="0.3">
      <c r="B992" s="28"/>
      <c r="C992" s="28"/>
      <c r="D992" s="28"/>
      <c r="E992" s="28"/>
      <c r="F992" s="28"/>
      <c r="G992" s="28"/>
    </row>
    <row r="993" spans="2:7" ht="14.4" x14ac:dyDescent="0.3">
      <c r="B993" s="28"/>
      <c r="C993" s="28"/>
      <c r="D993" s="28"/>
      <c r="E993" s="28"/>
      <c r="F993" s="28"/>
      <c r="G993" s="28"/>
    </row>
    <row r="994" spans="2:7" ht="14.4" x14ac:dyDescent="0.3">
      <c r="B994" s="28"/>
      <c r="C994" s="28"/>
      <c r="D994" s="28"/>
      <c r="E994" s="28"/>
      <c r="F994" s="28"/>
      <c r="G994" s="28"/>
    </row>
    <row r="995" spans="2:7" ht="14.4" x14ac:dyDescent="0.3">
      <c r="B995" s="28"/>
      <c r="C995" s="28"/>
      <c r="D995" s="28"/>
      <c r="E995" s="28"/>
      <c r="F995" s="28"/>
      <c r="G995" s="28"/>
    </row>
    <row r="996" spans="2:7" ht="14.4" x14ac:dyDescent="0.3">
      <c r="B996" s="28"/>
      <c r="C996" s="28"/>
      <c r="D996" s="28"/>
      <c r="E996" s="28"/>
      <c r="F996" s="28"/>
      <c r="G996" s="28"/>
    </row>
    <row r="997" spans="2:7" ht="14.4" x14ac:dyDescent="0.3">
      <c r="B997" s="28"/>
      <c r="C997" s="28"/>
      <c r="D997" s="28"/>
      <c r="E997" s="28"/>
      <c r="F997" s="28"/>
      <c r="G997" s="28"/>
    </row>
    <row r="998" spans="2:7" ht="14.4" x14ac:dyDescent="0.3">
      <c r="B998" s="28"/>
      <c r="C998" s="28"/>
      <c r="D998" s="28"/>
      <c r="E998" s="28"/>
      <c r="F998" s="28"/>
      <c r="G998" s="28"/>
    </row>
    <row r="999" spans="2:7" ht="14.4" x14ac:dyDescent="0.3">
      <c r="B999" s="28"/>
      <c r="C999" s="28"/>
      <c r="D999" s="28"/>
      <c r="E999" s="28"/>
      <c r="F999" s="28"/>
      <c r="G999" s="28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2"/>
  <sheetViews>
    <sheetView workbookViewId="0"/>
  </sheetViews>
  <sheetFormatPr defaultColWidth="14.44140625" defaultRowHeight="15" customHeight="1" x14ac:dyDescent="0.3"/>
  <cols>
    <col min="1" max="1" width="44.33203125" customWidth="1"/>
    <col min="2" max="2" width="11.33203125" customWidth="1"/>
    <col min="3" max="3" width="1.6640625" customWidth="1"/>
    <col min="4" max="4" width="44.33203125" customWidth="1"/>
    <col min="5" max="5" width="6.33203125" customWidth="1"/>
    <col min="6" max="6" width="11.33203125" customWidth="1"/>
    <col min="10" max="26" width="44.33203125" customWidth="1"/>
  </cols>
  <sheetData>
    <row r="1" spans="1:6" x14ac:dyDescent="0.3">
      <c r="A1" s="61" t="s">
        <v>39</v>
      </c>
      <c r="B1" s="66">
        <v>10</v>
      </c>
      <c r="D1" s="38" t="s">
        <v>40</v>
      </c>
      <c r="E1" s="67">
        <v>0.05</v>
      </c>
      <c r="F1" s="62"/>
    </row>
    <row r="2" spans="1:6" x14ac:dyDescent="0.3">
      <c r="A2" s="62"/>
      <c r="B2" s="62"/>
      <c r="D2" s="39" t="s">
        <v>5</v>
      </c>
      <c r="E2" s="68">
        <v>0.16</v>
      </c>
      <c r="F2" s="62"/>
    </row>
    <row r="3" spans="1:6" x14ac:dyDescent="0.3">
      <c r="A3" s="61" t="s">
        <v>41</v>
      </c>
      <c r="B3" s="64">
        <v>0.02</v>
      </c>
      <c r="D3" s="40" t="s">
        <v>42</v>
      </c>
      <c r="E3" s="69">
        <v>10000</v>
      </c>
      <c r="F3" s="62"/>
    </row>
    <row r="4" spans="1:6" x14ac:dyDescent="0.3">
      <c r="A4" s="62"/>
      <c r="B4" s="62"/>
      <c r="D4" s="40" t="s">
        <v>43</v>
      </c>
      <c r="E4" s="41">
        <v>1</v>
      </c>
      <c r="F4" s="42">
        <v>1000</v>
      </c>
    </row>
    <row r="5" spans="1:6" x14ac:dyDescent="0.3">
      <c r="A5" s="61" t="s">
        <v>44</v>
      </c>
      <c r="B5" s="63">
        <v>597</v>
      </c>
      <c r="D5" s="40" t="s">
        <v>45</v>
      </c>
      <c r="E5" s="41">
        <v>1</v>
      </c>
      <c r="F5" s="42">
        <v>2000</v>
      </c>
    </row>
    <row r="6" spans="1:6" x14ac:dyDescent="0.3">
      <c r="A6" s="62"/>
      <c r="B6" s="62"/>
      <c r="D6" s="40" t="s">
        <v>46</v>
      </c>
      <c r="E6" s="41">
        <v>1</v>
      </c>
      <c r="F6" s="42">
        <v>2000</v>
      </c>
    </row>
    <row r="7" spans="1:6" x14ac:dyDescent="0.3">
      <c r="A7" s="61" t="s">
        <v>47</v>
      </c>
      <c r="B7" s="64">
        <v>0.2</v>
      </c>
      <c r="D7" s="40" t="s">
        <v>48</v>
      </c>
      <c r="E7" s="41">
        <v>1</v>
      </c>
      <c r="F7" s="42">
        <v>2000</v>
      </c>
    </row>
    <row r="8" spans="1:6" x14ac:dyDescent="0.3">
      <c r="A8" s="62"/>
      <c r="B8" s="62"/>
      <c r="D8" s="40" t="s">
        <v>49</v>
      </c>
      <c r="E8" s="41">
        <v>1</v>
      </c>
      <c r="F8" s="42">
        <v>3000</v>
      </c>
    </row>
    <row r="9" spans="1:6" x14ac:dyDescent="0.3">
      <c r="A9" s="61" t="s">
        <v>50</v>
      </c>
      <c r="B9" s="65"/>
      <c r="D9" s="40" t="s">
        <v>51</v>
      </c>
      <c r="E9" s="41">
        <v>0</v>
      </c>
      <c r="F9" s="42">
        <v>3750</v>
      </c>
    </row>
    <row r="10" spans="1:6" x14ac:dyDescent="0.3">
      <c r="A10" s="62"/>
      <c r="B10" s="62"/>
      <c r="D10" s="40" t="s">
        <v>52</v>
      </c>
      <c r="E10" s="41">
        <f>E9+E8+2</f>
        <v>3</v>
      </c>
      <c r="F10" s="42">
        <v>100</v>
      </c>
    </row>
    <row r="11" spans="1:6" x14ac:dyDescent="0.3">
      <c r="A11" s="61" t="s">
        <v>53</v>
      </c>
      <c r="B11" s="65">
        <f>((B5*3)*2)/3</f>
        <v>1194</v>
      </c>
      <c r="D11" s="40" t="s">
        <v>54</v>
      </c>
      <c r="E11" s="41">
        <f>4+E5+E8+E9</f>
        <v>6</v>
      </c>
      <c r="F11" s="42">
        <v>100</v>
      </c>
    </row>
    <row r="12" spans="1:6" x14ac:dyDescent="0.3">
      <c r="A12" s="62"/>
      <c r="B12" s="62"/>
      <c r="D12" s="40" t="s">
        <v>55</v>
      </c>
      <c r="E12" s="41">
        <f>E9+E8+E7+E6+E5+4</f>
        <v>8</v>
      </c>
      <c r="F12" s="42">
        <v>150</v>
      </c>
    </row>
  </sheetData>
  <mergeCells count="15">
    <mergeCell ref="A11:A12"/>
    <mergeCell ref="B11:B12"/>
    <mergeCell ref="A1:A2"/>
    <mergeCell ref="B1:B2"/>
    <mergeCell ref="E1:F1"/>
    <mergeCell ref="E2:F2"/>
    <mergeCell ref="A3:A4"/>
    <mergeCell ref="B3:B4"/>
    <mergeCell ref="E3:F3"/>
    <mergeCell ref="A5:A6"/>
    <mergeCell ref="B5:B6"/>
    <mergeCell ref="A7:A8"/>
    <mergeCell ref="B7:B8"/>
    <mergeCell ref="A9:A10"/>
    <mergeCell ref="B9:B1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 x14ac:dyDescent="0.3"/>
  <cols>
    <col min="1" max="1" width="10" customWidth="1"/>
    <col min="2" max="2" width="21" customWidth="1"/>
    <col min="3" max="3" width="19" hidden="1" customWidth="1"/>
    <col min="4" max="4" width="19.88671875" customWidth="1"/>
    <col min="5" max="5" width="34.109375" customWidth="1"/>
    <col min="6" max="6" width="15.44140625" customWidth="1"/>
    <col min="7" max="7" width="16.6640625" hidden="1" customWidth="1"/>
    <col min="8" max="8" width="16" hidden="1" customWidth="1"/>
    <col min="9" max="9" width="18.5546875" customWidth="1"/>
    <col min="10" max="10" width="24.109375" customWidth="1"/>
    <col min="11" max="11" width="24" customWidth="1"/>
    <col min="12" max="12" width="26.109375" customWidth="1"/>
    <col min="13" max="14" width="31.6640625" customWidth="1"/>
    <col min="15" max="15" width="28.6640625" customWidth="1"/>
    <col min="16" max="17" width="26.33203125" customWidth="1"/>
    <col min="18" max="18" width="28.44140625" customWidth="1"/>
    <col min="19" max="19" width="27" customWidth="1"/>
  </cols>
  <sheetData>
    <row r="1" spans="1:28" ht="22.5" customHeight="1" x14ac:dyDescent="0.3">
      <c r="A1" s="43" t="s">
        <v>56</v>
      </c>
      <c r="B1" s="43" t="s">
        <v>57</v>
      </c>
      <c r="C1" s="43" t="s">
        <v>58</v>
      </c>
      <c r="D1" s="43" t="s">
        <v>59</v>
      </c>
      <c r="E1" s="43" t="s">
        <v>60</v>
      </c>
      <c r="F1" s="43" t="s">
        <v>61</v>
      </c>
      <c r="G1" s="43" t="s">
        <v>62</v>
      </c>
      <c r="H1" s="43" t="s">
        <v>63</v>
      </c>
      <c r="I1" s="43" t="s">
        <v>64</v>
      </c>
      <c r="J1" s="43" t="s">
        <v>65</v>
      </c>
      <c r="K1" s="43" t="s">
        <v>66</v>
      </c>
      <c r="L1" s="43" t="s">
        <v>67</v>
      </c>
      <c r="M1" s="44" t="s">
        <v>68</v>
      </c>
      <c r="N1" s="43" t="s">
        <v>69</v>
      </c>
      <c r="O1" s="43" t="s">
        <v>70</v>
      </c>
      <c r="P1" s="44" t="s">
        <v>71</v>
      </c>
      <c r="Q1" s="43" t="s">
        <v>72</v>
      </c>
      <c r="R1" s="43" t="s">
        <v>73</v>
      </c>
      <c r="S1" s="43" t="s">
        <v>74</v>
      </c>
      <c r="T1" s="45"/>
      <c r="U1" s="45"/>
      <c r="V1" s="45"/>
      <c r="W1" s="45"/>
      <c r="X1" s="45"/>
      <c r="Y1" s="45"/>
      <c r="Z1" s="45"/>
      <c r="AA1" s="45"/>
      <c r="AB1" s="45"/>
    </row>
    <row r="2" spans="1:28" ht="22.5" customHeight="1" x14ac:dyDescent="0.3">
      <c r="A2" s="46" t="s">
        <v>75</v>
      </c>
      <c r="B2" s="47">
        <v>9695.2800000000007</v>
      </c>
      <c r="C2" s="47">
        <v>11000</v>
      </c>
      <c r="D2" s="47">
        <v>0</v>
      </c>
      <c r="E2" s="47">
        <f t="shared" ref="E2:E85" si="0">D2*1.288</f>
        <v>0</v>
      </c>
      <c r="F2" s="47">
        <f t="shared" ref="F2:F85" si="1">IF(ROW()-1&lt;13,SUM($B$2:B2),SUM(INDEX($B:$B,ROW()-11):B2))</f>
        <v>9695.2800000000007</v>
      </c>
      <c r="G2" s="47">
        <f t="shared" ref="G2:G85" si="2">IF(ROW()-1&lt;13,SUM($C$2:C2)+SUM($D$2:D2),SUM(INDEX($C:$C,ROW()-11):C2)+SUM(INDEX($D:$D,ROW()-11):D2))</f>
        <v>11000</v>
      </c>
      <c r="H2" s="48">
        <f t="shared" ref="H2:H85" si="3">IF(F2=0,0,G2/F2)</f>
        <v>1.1345726992928518</v>
      </c>
      <c r="I2" s="46" t="str">
        <f t="shared" ref="I2:I85" si="4">IF(H2&gt;=0.28,"III","V")</f>
        <v>III</v>
      </c>
      <c r="J2" s="49">
        <f t="shared" ref="J2:J85" si="5">IF(I2="III",IF(F2&lt;=180000,0.06,IF(F2&lt;=360000,(F2*0.112-9360)/F2,IF(F2&lt;=720000,(F2*0.135-17640)/F2,IF(F2&lt;=1800000,(F2*0.16-35640)/F2,IF(F2&lt;=3600000,(F2*0.21-125640)/F2,IF(F2&lt;=4800000,(F2*0.33-648000)/F2,0)))))),IF(F2&lt;=180000,0.155,IF(F2&lt;=360000,(F2*0.18-4500)/F2,IF(F2&lt;=720000,(F2*0.195-9900)/F2,IF(F2&lt;=1800000,(F2*0.205-17100)/F2,IF(F2&lt;=3600000,(F2*0.23-62100)/F2,IF(F2&lt;=4800000,(F2*0.305-540000)/F2,0)))))))</f>
        <v>0.06</v>
      </c>
      <c r="K2" s="50">
        <f t="shared" ref="K2:K85" si="6">B2*J2</f>
        <v>581.71680000000003</v>
      </c>
      <c r="L2" s="50">
        <f t="shared" ref="L2:L85" si="7">B2-K2</f>
        <v>9113.5632000000005</v>
      </c>
      <c r="M2" s="51">
        <f t="shared" ref="M2:M85" si="8">N2/B2</f>
        <v>0.1133</v>
      </c>
      <c r="N2" s="52">
        <f t="shared" ref="N2:N85" si="9">(B2*0.32*0.15)+(MAX(0,(B2*0.32)-20000)*0.1)+(B2*0.32*0.09)+(B2*0.0365)</f>
        <v>1098.475224</v>
      </c>
      <c r="O2" s="52">
        <f t="shared" ref="O2:O85" si="10">B2-N2</f>
        <v>8596.8047760000009</v>
      </c>
      <c r="P2" s="53">
        <f t="shared" ref="P2:P85" si="11">Q2/B2</f>
        <v>9.2499999999999999E-2</v>
      </c>
      <c r="Q2" s="54">
        <f t="shared" ref="Q2:Q85" si="12">MAX(0,(B2-C2-E2))*0.15+MAX(0,(B2-C2-E2-20000))*0.1+MAX(0,(B2-C2-E2))*0.09+(B2*0.0925)</f>
        <v>896.8134</v>
      </c>
      <c r="R2" s="54">
        <f t="shared" ref="R2:R85" si="13">B2-Q2</f>
        <v>8798.4665999999997</v>
      </c>
      <c r="S2" s="46" t="str">
        <f t="shared" ref="S2:S85" si="14">IF(L2&gt;=MAX(L2,O2,R2),"SIMPLES",IF(O2&gt;=MAX(L2,O2,R2),"LUCRO PRESUMIDO","LUCRO REAL"))</f>
        <v>SIMPLES</v>
      </c>
      <c r="T2" s="45"/>
      <c r="U2" s="45"/>
      <c r="V2" s="45"/>
      <c r="W2" s="45"/>
      <c r="X2" s="45"/>
      <c r="Y2" s="45"/>
      <c r="Z2" s="45"/>
      <c r="AA2" s="45"/>
      <c r="AB2" s="45"/>
    </row>
    <row r="3" spans="1:28" ht="22.5" customHeight="1" x14ac:dyDescent="0.3">
      <c r="A3" s="46" t="s">
        <v>76</v>
      </c>
      <c r="B3" s="47">
        <v>18421.031999999999</v>
      </c>
      <c r="C3" s="47">
        <v>11000</v>
      </c>
      <c r="D3" s="47">
        <v>0</v>
      </c>
      <c r="E3" s="47">
        <f t="shared" si="0"/>
        <v>0</v>
      </c>
      <c r="F3" s="47">
        <f t="shared" si="1"/>
        <v>28116.311999999998</v>
      </c>
      <c r="G3" s="47">
        <f t="shared" si="2"/>
        <v>22000</v>
      </c>
      <c r="H3" s="48">
        <f t="shared" si="3"/>
        <v>0.78246393054679442</v>
      </c>
      <c r="I3" s="46" t="str">
        <f t="shared" si="4"/>
        <v>III</v>
      </c>
      <c r="J3" s="49">
        <f t="shared" si="5"/>
        <v>0.06</v>
      </c>
      <c r="K3" s="50">
        <f t="shared" si="6"/>
        <v>1105.2619199999999</v>
      </c>
      <c r="L3" s="50">
        <f t="shared" si="7"/>
        <v>17315.770079999998</v>
      </c>
      <c r="M3" s="53">
        <f t="shared" si="8"/>
        <v>0.11329999999999998</v>
      </c>
      <c r="N3" s="54">
        <f t="shared" si="9"/>
        <v>2087.1029255999997</v>
      </c>
      <c r="O3" s="54">
        <f t="shared" si="10"/>
        <v>16333.929074399999</v>
      </c>
      <c r="P3" s="51">
        <f t="shared" si="11"/>
        <v>0.18918555377353449</v>
      </c>
      <c r="Q3" s="52">
        <f t="shared" si="12"/>
        <v>3484.9931399999996</v>
      </c>
      <c r="R3" s="52">
        <f t="shared" si="13"/>
        <v>14936.038860000001</v>
      </c>
      <c r="S3" s="46" t="str">
        <f t="shared" si="14"/>
        <v>SIMPLES</v>
      </c>
      <c r="T3" s="45"/>
      <c r="U3" s="45"/>
      <c r="V3" s="45"/>
      <c r="W3" s="45"/>
      <c r="X3" s="45"/>
      <c r="Y3" s="45"/>
      <c r="Z3" s="45"/>
      <c r="AA3" s="45"/>
      <c r="AB3" s="45"/>
    </row>
    <row r="4" spans="1:28" ht="22.5" customHeight="1" x14ac:dyDescent="0.3">
      <c r="A4" s="46" t="s">
        <v>77</v>
      </c>
      <c r="B4" s="47">
        <v>27146.784</v>
      </c>
      <c r="C4" s="47">
        <v>11000</v>
      </c>
      <c r="D4" s="47">
        <v>0</v>
      </c>
      <c r="E4" s="47">
        <f t="shared" si="0"/>
        <v>0</v>
      </c>
      <c r="F4" s="47">
        <f t="shared" si="1"/>
        <v>55263.095999999998</v>
      </c>
      <c r="G4" s="47">
        <f t="shared" si="2"/>
        <v>33000</v>
      </c>
      <c r="H4" s="48">
        <f t="shared" si="3"/>
        <v>0.5971435259436062</v>
      </c>
      <c r="I4" s="46" t="str">
        <f t="shared" si="4"/>
        <v>III</v>
      </c>
      <c r="J4" s="49">
        <f t="shared" si="5"/>
        <v>0.06</v>
      </c>
      <c r="K4" s="50">
        <f t="shared" si="6"/>
        <v>1628.8070399999999</v>
      </c>
      <c r="L4" s="50">
        <f t="shared" si="7"/>
        <v>25517.97696</v>
      </c>
      <c r="M4" s="53">
        <f t="shared" si="8"/>
        <v>0.1133</v>
      </c>
      <c r="N4" s="54">
        <f t="shared" si="9"/>
        <v>3075.7306272000001</v>
      </c>
      <c r="O4" s="54">
        <f t="shared" si="10"/>
        <v>24071.053372800001</v>
      </c>
      <c r="P4" s="51">
        <f t="shared" si="11"/>
        <v>0.23525091148918412</v>
      </c>
      <c r="Q4" s="52">
        <f t="shared" si="12"/>
        <v>6386.3056799999995</v>
      </c>
      <c r="R4" s="52">
        <f t="shared" si="13"/>
        <v>20760.478320000002</v>
      </c>
      <c r="S4" s="46" t="str">
        <f t="shared" si="14"/>
        <v>SIMPLES</v>
      </c>
      <c r="T4" s="45"/>
      <c r="U4" s="45"/>
      <c r="V4" s="45"/>
      <c r="W4" s="45"/>
      <c r="X4" s="45"/>
      <c r="Y4" s="45"/>
      <c r="Z4" s="45"/>
      <c r="AA4" s="45"/>
      <c r="AB4" s="45"/>
    </row>
    <row r="5" spans="1:28" ht="22.5" customHeight="1" x14ac:dyDescent="0.3">
      <c r="A5" s="46" t="s">
        <v>78</v>
      </c>
      <c r="B5" s="47">
        <v>35872.536</v>
      </c>
      <c r="C5" s="47">
        <v>11000</v>
      </c>
      <c r="D5" s="47">
        <v>0</v>
      </c>
      <c r="E5" s="47">
        <f t="shared" si="0"/>
        <v>0</v>
      </c>
      <c r="F5" s="47">
        <f t="shared" si="1"/>
        <v>91135.631999999998</v>
      </c>
      <c r="G5" s="47">
        <f t="shared" si="2"/>
        <v>44000</v>
      </c>
      <c r="H5" s="48">
        <f t="shared" si="3"/>
        <v>0.48279689331610715</v>
      </c>
      <c r="I5" s="46" t="str">
        <f t="shared" si="4"/>
        <v>III</v>
      </c>
      <c r="J5" s="49">
        <f t="shared" si="5"/>
        <v>0.06</v>
      </c>
      <c r="K5" s="50">
        <f t="shared" si="6"/>
        <v>2152.3521599999999</v>
      </c>
      <c r="L5" s="50">
        <f t="shared" si="7"/>
        <v>33720.183839999998</v>
      </c>
      <c r="M5" s="53">
        <f t="shared" si="8"/>
        <v>0.1133</v>
      </c>
      <c r="N5" s="54">
        <f t="shared" si="9"/>
        <v>4064.3583288</v>
      </c>
      <c r="O5" s="54">
        <f t="shared" si="10"/>
        <v>31808.177671199999</v>
      </c>
      <c r="P5" s="51">
        <f t="shared" si="11"/>
        <v>0.27248900997688036</v>
      </c>
      <c r="Q5" s="52">
        <f t="shared" si="12"/>
        <v>9774.8718200000003</v>
      </c>
      <c r="R5" s="52">
        <f t="shared" si="13"/>
        <v>26097.66418</v>
      </c>
      <c r="S5" s="46" t="str">
        <f t="shared" si="14"/>
        <v>SIMPLES</v>
      </c>
      <c r="T5" s="45"/>
      <c r="U5" s="45"/>
      <c r="V5" s="45"/>
      <c r="W5" s="45"/>
      <c r="X5" s="45"/>
      <c r="Y5" s="45"/>
      <c r="Z5" s="45"/>
      <c r="AA5" s="45"/>
      <c r="AB5" s="45"/>
    </row>
    <row r="6" spans="1:28" ht="22.5" customHeight="1" x14ac:dyDescent="0.3">
      <c r="A6" s="46" t="s">
        <v>79</v>
      </c>
      <c r="B6" s="47">
        <v>44598.288</v>
      </c>
      <c r="C6" s="47">
        <v>11000</v>
      </c>
      <c r="D6" s="47">
        <v>0</v>
      </c>
      <c r="E6" s="47">
        <f t="shared" si="0"/>
        <v>0</v>
      </c>
      <c r="F6" s="47">
        <f t="shared" si="1"/>
        <v>135733.91999999998</v>
      </c>
      <c r="G6" s="47">
        <f t="shared" si="2"/>
        <v>55000</v>
      </c>
      <c r="H6" s="48">
        <f t="shared" si="3"/>
        <v>0.40520453546173285</v>
      </c>
      <c r="I6" s="46" t="str">
        <f t="shared" si="4"/>
        <v>III</v>
      </c>
      <c r="J6" s="49">
        <f t="shared" si="5"/>
        <v>0.06</v>
      </c>
      <c r="K6" s="50">
        <f t="shared" si="6"/>
        <v>2675.8972800000001</v>
      </c>
      <c r="L6" s="50">
        <f t="shared" si="7"/>
        <v>41922.390720000003</v>
      </c>
      <c r="M6" s="53">
        <f t="shared" si="8"/>
        <v>0.11329999999999998</v>
      </c>
      <c r="N6" s="54">
        <f t="shared" si="9"/>
        <v>5052.9860303999994</v>
      </c>
      <c r="O6" s="54">
        <f t="shared" si="10"/>
        <v>39545.301969599997</v>
      </c>
      <c r="P6" s="51">
        <f t="shared" si="11"/>
        <v>0.30379550802488198</v>
      </c>
      <c r="Q6" s="52">
        <f t="shared" si="12"/>
        <v>13548.759559999999</v>
      </c>
      <c r="R6" s="52">
        <f t="shared" si="13"/>
        <v>31049.528440000002</v>
      </c>
      <c r="S6" s="46" t="str">
        <f t="shared" si="14"/>
        <v>SIMPLES</v>
      </c>
      <c r="T6" s="45"/>
      <c r="U6" s="45"/>
      <c r="V6" s="45"/>
      <c r="W6" s="45"/>
      <c r="X6" s="45"/>
      <c r="Y6" s="45"/>
      <c r="Z6" s="45"/>
      <c r="AA6" s="45"/>
      <c r="AB6" s="45"/>
    </row>
    <row r="7" spans="1:28" ht="22.5" customHeight="1" x14ac:dyDescent="0.3">
      <c r="A7" s="46" t="s">
        <v>80</v>
      </c>
      <c r="B7" s="47">
        <v>53324.04</v>
      </c>
      <c r="C7" s="47">
        <v>11000</v>
      </c>
      <c r="D7" s="47">
        <v>0</v>
      </c>
      <c r="E7" s="47">
        <f t="shared" si="0"/>
        <v>0</v>
      </c>
      <c r="F7" s="47">
        <f t="shared" si="1"/>
        <v>189057.96</v>
      </c>
      <c r="G7" s="47">
        <f t="shared" si="2"/>
        <v>66000</v>
      </c>
      <c r="H7" s="48">
        <f t="shared" si="3"/>
        <v>0.34909929209010826</v>
      </c>
      <c r="I7" s="46" t="str">
        <f t="shared" si="4"/>
        <v>III</v>
      </c>
      <c r="J7" s="49">
        <f t="shared" si="5"/>
        <v>6.2491373121766468E-2</v>
      </c>
      <c r="K7" s="50">
        <f t="shared" si="6"/>
        <v>3332.2924800000001</v>
      </c>
      <c r="L7" s="50">
        <f t="shared" si="7"/>
        <v>49991.747520000004</v>
      </c>
      <c r="M7" s="53">
        <f t="shared" si="8"/>
        <v>0.1133</v>
      </c>
      <c r="N7" s="54">
        <f t="shared" si="9"/>
        <v>6041.6137319999998</v>
      </c>
      <c r="O7" s="54">
        <f t="shared" si="10"/>
        <v>47282.426268000003</v>
      </c>
      <c r="P7" s="51">
        <f t="shared" si="11"/>
        <v>0.32485624307535588</v>
      </c>
      <c r="Q7" s="52">
        <f t="shared" si="12"/>
        <v>17322.647300000001</v>
      </c>
      <c r="R7" s="52">
        <f t="shared" si="13"/>
        <v>36001.392699999997</v>
      </c>
      <c r="S7" s="46" t="str">
        <f t="shared" si="14"/>
        <v>SIMPLES</v>
      </c>
      <c r="T7" s="45"/>
      <c r="U7" s="45"/>
      <c r="V7" s="45"/>
      <c r="W7" s="45"/>
      <c r="X7" s="45"/>
      <c r="Y7" s="45"/>
      <c r="Z7" s="45"/>
      <c r="AA7" s="45"/>
      <c r="AB7" s="45"/>
    </row>
    <row r="8" spans="1:28" ht="22.5" customHeight="1" x14ac:dyDescent="0.3">
      <c r="A8" s="46" t="s">
        <v>81</v>
      </c>
      <c r="B8" s="47">
        <v>61080.264000000003</v>
      </c>
      <c r="C8" s="47">
        <v>11000</v>
      </c>
      <c r="D8" s="47">
        <v>0</v>
      </c>
      <c r="E8" s="47">
        <f t="shared" si="0"/>
        <v>0</v>
      </c>
      <c r="F8" s="47">
        <f t="shared" si="1"/>
        <v>250138.22399999999</v>
      </c>
      <c r="G8" s="47">
        <f t="shared" si="2"/>
        <v>77000</v>
      </c>
      <c r="H8" s="48">
        <f t="shared" si="3"/>
        <v>0.30782980213371947</v>
      </c>
      <c r="I8" s="46" t="str">
        <f t="shared" si="4"/>
        <v>III</v>
      </c>
      <c r="J8" s="49">
        <f t="shared" si="5"/>
        <v>7.4580688987381641E-2</v>
      </c>
      <c r="K8" s="50">
        <f t="shared" si="6"/>
        <v>4555.4081726511631</v>
      </c>
      <c r="L8" s="50">
        <f t="shared" si="7"/>
        <v>56524.855827348838</v>
      </c>
      <c r="M8" s="53">
        <f t="shared" si="8"/>
        <v>0.1133</v>
      </c>
      <c r="N8" s="54">
        <f t="shared" si="9"/>
        <v>6920.3939111999998</v>
      </c>
      <c r="O8" s="54">
        <f t="shared" si="10"/>
        <v>54159.870088800002</v>
      </c>
      <c r="P8" s="51">
        <f t="shared" si="11"/>
        <v>0.33852529157372335</v>
      </c>
      <c r="Q8" s="52">
        <f t="shared" si="12"/>
        <v>20677.214179999999</v>
      </c>
      <c r="R8" s="52">
        <f t="shared" si="13"/>
        <v>40403.04982</v>
      </c>
      <c r="S8" s="46" t="str">
        <f t="shared" si="14"/>
        <v>SIMPLES</v>
      </c>
      <c r="T8" s="45"/>
      <c r="U8" s="45"/>
      <c r="V8" s="45"/>
      <c r="W8" s="45"/>
      <c r="X8" s="45"/>
      <c r="Y8" s="45"/>
      <c r="Z8" s="45"/>
      <c r="AA8" s="45"/>
      <c r="AB8" s="45"/>
    </row>
    <row r="9" spans="1:28" ht="22.5" customHeight="1" x14ac:dyDescent="0.3">
      <c r="A9" s="46" t="s">
        <v>82</v>
      </c>
      <c r="B9" s="47">
        <v>68836.487999999998</v>
      </c>
      <c r="C9" s="47">
        <v>11000</v>
      </c>
      <c r="D9" s="47">
        <v>0</v>
      </c>
      <c r="E9" s="47">
        <f t="shared" si="0"/>
        <v>0</v>
      </c>
      <c r="F9" s="47">
        <f t="shared" si="1"/>
        <v>318974.712</v>
      </c>
      <c r="G9" s="47">
        <f t="shared" si="2"/>
        <v>88000</v>
      </c>
      <c r="H9" s="48">
        <f t="shared" si="3"/>
        <v>0.27588393903777553</v>
      </c>
      <c r="I9" s="46" t="str">
        <f t="shared" si="4"/>
        <v>V</v>
      </c>
      <c r="J9" s="53">
        <f t="shared" si="5"/>
        <v>0.16589229857193194</v>
      </c>
      <c r="K9" s="54">
        <f t="shared" si="6"/>
        <v>11419.44321993921</v>
      </c>
      <c r="L9" s="54">
        <f t="shared" si="7"/>
        <v>57417.044780060787</v>
      </c>
      <c r="M9" s="49">
        <f t="shared" si="8"/>
        <v>0.11624564150338407</v>
      </c>
      <c r="N9" s="50">
        <f t="shared" si="9"/>
        <v>8001.941706399999</v>
      </c>
      <c r="O9" s="50">
        <f t="shared" si="10"/>
        <v>60834.546293599997</v>
      </c>
      <c r="P9" s="51">
        <f t="shared" si="11"/>
        <v>0.34911399111471225</v>
      </c>
      <c r="Q9" s="52">
        <f t="shared" si="12"/>
        <v>24031.781059999998</v>
      </c>
      <c r="R9" s="52">
        <f t="shared" si="13"/>
        <v>44804.706940000004</v>
      </c>
      <c r="S9" s="46" t="str">
        <f t="shared" si="14"/>
        <v>LUCRO PRESUMIDO</v>
      </c>
      <c r="T9" s="45"/>
      <c r="U9" s="45"/>
      <c r="V9" s="45"/>
      <c r="W9" s="45"/>
      <c r="X9" s="45"/>
      <c r="Y9" s="45"/>
      <c r="Z9" s="45"/>
      <c r="AA9" s="45"/>
      <c r="AB9" s="45"/>
    </row>
    <row r="10" spans="1:28" ht="22.5" customHeight="1" x14ac:dyDescent="0.3">
      <c r="A10" s="46" t="s">
        <v>83</v>
      </c>
      <c r="B10" s="47">
        <v>76592.712</v>
      </c>
      <c r="C10" s="47">
        <v>11000</v>
      </c>
      <c r="D10" s="47">
        <v>0</v>
      </c>
      <c r="E10" s="47">
        <f t="shared" si="0"/>
        <v>0</v>
      </c>
      <c r="F10" s="47">
        <f t="shared" si="1"/>
        <v>395567.424</v>
      </c>
      <c r="G10" s="47">
        <f t="shared" si="2"/>
        <v>99000</v>
      </c>
      <c r="H10" s="48">
        <f t="shared" si="3"/>
        <v>0.25027338954989375</v>
      </c>
      <c r="I10" s="46" t="str">
        <f t="shared" si="4"/>
        <v>V</v>
      </c>
      <c r="J10" s="53">
        <f t="shared" si="5"/>
        <v>0.16997266104501066</v>
      </c>
      <c r="K10" s="54">
        <f t="shared" si="6"/>
        <v>13018.667075294121</v>
      </c>
      <c r="L10" s="54">
        <f t="shared" si="7"/>
        <v>63574.044924705879</v>
      </c>
      <c r="M10" s="49">
        <f t="shared" si="8"/>
        <v>0.11918785502202872</v>
      </c>
      <c r="N10" s="50">
        <f t="shared" si="9"/>
        <v>9128.9210535999991</v>
      </c>
      <c r="O10" s="50">
        <f t="shared" si="10"/>
        <v>67463.790946399997</v>
      </c>
      <c r="P10" s="51">
        <f t="shared" si="11"/>
        <v>0.35755814391322244</v>
      </c>
      <c r="Q10" s="52">
        <f t="shared" si="12"/>
        <v>27386.34794</v>
      </c>
      <c r="R10" s="52">
        <f t="shared" si="13"/>
        <v>49206.36406</v>
      </c>
      <c r="S10" s="46" t="str">
        <f t="shared" si="14"/>
        <v>LUCRO PRESUMIDO</v>
      </c>
      <c r="T10" s="45"/>
      <c r="U10" s="45"/>
      <c r="V10" s="45"/>
      <c r="W10" s="45"/>
      <c r="X10" s="45"/>
      <c r="Y10" s="45"/>
      <c r="Z10" s="45"/>
      <c r="AA10" s="45"/>
      <c r="AB10" s="45"/>
    </row>
    <row r="11" spans="1:28" ht="22.5" customHeight="1" x14ac:dyDescent="0.3">
      <c r="A11" s="46" t="s">
        <v>84</v>
      </c>
      <c r="B11" s="47">
        <v>84348.936000000002</v>
      </c>
      <c r="C11" s="47">
        <v>11000</v>
      </c>
      <c r="D11" s="47">
        <v>0</v>
      </c>
      <c r="E11" s="47">
        <f t="shared" si="0"/>
        <v>0</v>
      </c>
      <c r="F11" s="47">
        <f t="shared" si="1"/>
        <v>479916.36</v>
      </c>
      <c r="G11" s="47">
        <f t="shared" si="2"/>
        <v>110000</v>
      </c>
      <c r="H11" s="48">
        <f t="shared" si="3"/>
        <v>0.22920660591774783</v>
      </c>
      <c r="I11" s="46" t="str">
        <f t="shared" si="4"/>
        <v>V</v>
      </c>
      <c r="J11" s="53">
        <f t="shared" si="5"/>
        <v>0.17437140546740271</v>
      </c>
      <c r="K11" s="54">
        <f t="shared" si="6"/>
        <v>14708.042520000001</v>
      </c>
      <c r="L11" s="54">
        <f t="shared" si="7"/>
        <v>69640.893479999999</v>
      </c>
      <c r="M11" s="49">
        <f t="shared" si="8"/>
        <v>0.12158897180161231</v>
      </c>
      <c r="N11" s="50">
        <f t="shared" si="9"/>
        <v>10255.900400800001</v>
      </c>
      <c r="O11" s="50">
        <f t="shared" si="10"/>
        <v>74093.035599199997</v>
      </c>
      <c r="P11" s="51">
        <f t="shared" si="11"/>
        <v>0.36444934907062726</v>
      </c>
      <c r="Q11" s="52">
        <f t="shared" si="12"/>
        <v>30740.914819999998</v>
      </c>
      <c r="R11" s="52">
        <f t="shared" si="13"/>
        <v>53608.021180000003</v>
      </c>
      <c r="S11" s="46" t="str">
        <f t="shared" si="14"/>
        <v>LUCRO PRESUMIDO</v>
      </c>
      <c r="T11" s="45"/>
      <c r="U11" s="45"/>
      <c r="V11" s="45"/>
      <c r="W11" s="45"/>
      <c r="X11" s="45"/>
      <c r="Y11" s="45"/>
      <c r="Z11" s="45"/>
      <c r="AA11" s="45"/>
      <c r="AB11" s="45"/>
    </row>
    <row r="12" spans="1:28" ht="22.5" customHeight="1" x14ac:dyDescent="0.3">
      <c r="A12" s="46" t="s">
        <v>85</v>
      </c>
      <c r="B12" s="47">
        <v>92105.16</v>
      </c>
      <c r="C12" s="47">
        <v>11000</v>
      </c>
      <c r="D12" s="47">
        <v>0</v>
      </c>
      <c r="E12" s="47">
        <f t="shared" si="0"/>
        <v>0</v>
      </c>
      <c r="F12" s="47">
        <f t="shared" si="1"/>
        <v>572021.52</v>
      </c>
      <c r="G12" s="47">
        <f t="shared" si="2"/>
        <v>121000</v>
      </c>
      <c r="H12" s="48">
        <f t="shared" si="3"/>
        <v>0.21153050325798931</v>
      </c>
      <c r="I12" s="46" t="str">
        <f t="shared" si="4"/>
        <v>V</v>
      </c>
      <c r="J12" s="53">
        <f t="shared" si="5"/>
        <v>0.17769295882434633</v>
      </c>
      <c r="K12" s="54">
        <f t="shared" si="6"/>
        <v>16366.438403389831</v>
      </c>
      <c r="L12" s="54">
        <f t="shared" si="7"/>
        <v>75738.721596610179</v>
      </c>
      <c r="M12" s="49">
        <f t="shared" si="8"/>
        <v>0.12358568996568704</v>
      </c>
      <c r="N12" s="50">
        <f t="shared" si="9"/>
        <v>11382.879747999999</v>
      </c>
      <c r="O12" s="50">
        <f t="shared" si="10"/>
        <v>80722.280251999997</v>
      </c>
      <c r="P12" s="51">
        <f t="shared" si="11"/>
        <v>0.37017993020152185</v>
      </c>
      <c r="Q12" s="52">
        <f t="shared" si="12"/>
        <v>34095.481700000004</v>
      </c>
      <c r="R12" s="52">
        <f t="shared" si="13"/>
        <v>58009.6783</v>
      </c>
      <c r="S12" s="46" t="str">
        <f t="shared" si="14"/>
        <v>LUCRO PRESUMIDO</v>
      </c>
      <c r="T12" s="45"/>
      <c r="U12" s="45"/>
      <c r="V12" s="45"/>
      <c r="W12" s="45"/>
      <c r="X12" s="45"/>
      <c r="Y12" s="45"/>
      <c r="Z12" s="45"/>
      <c r="AA12" s="45"/>
      <c r="AB12" s="45"/>
    </row>
    <row r="13" spans="1:28" ht="22.5" customHeight="1" x14ac:dyDescent="0.3">
      <c r="A13" s="46" t="s">
        <v>86</v>
      </c>
      <c r="B13" s="47">
        <v>99861.384000000005</v>
      </c>
      <c r="C13" s="47">
        <v>11000</v>
      </c>
      <c r="D13" s="47">
        <v>0</v>
      </c>
      <c r="E13" s="47">
        <f t="shared" si="0"/>
        <v>0</v>
      </c>
      <c r="F13" s="47">
        <f t="shared" si="1"/>
        <v>671882.90399999998</v>
      </c>
      <c r="G13" s="47">
        <f t="shared" si="2"/>
        <v>132000</v>
      </c>
      <c r="H13" s="48">
        <f t="shared" si="3"/>
        <v>0.19646280507235528</v>
      </c>
      <c r="I13" s="46" t="str">
        <f t="shared" si="4"/>
        <v>V</v>
      </c>
      <c r="J13" s="53">
        <f t="shared" si="5"/>
        <v>0.18026528961957336</v>
      </c>
      <c r="K13" s="54">
        <f t="shared" si="6"/>
        <v>18001.541308571432</v>
      </c>
      <c r="L13" s="54">
        <f t="shared" si="7"/>
        <v>81859.842691428581</v>
      </c>
      <c r="M13" s="49">
        <f t="shared" si="8"/>
        <v>0.12527223831786671</v>
      </c>
      <c r="N13" s="50">
        <f t="shared" si="9"/>
        <v>12509.859095200001</v>
      </c>
      <c r="O13" s="50">
        <f t="shared" si="10"/>
        <v>87351.524904799997</v>
      </c>
      <c r="P13" s="51">
        <f t="shared" si="11"/>
        <v>0.37502032397227741</v>
      </c>
      <c r="Q13" s="52">
        <f t="shared" si="12"/>
        <v>37450.048580000002</v>
      </c>
      <c r="R13" s="52">
        <f t="shared" si="13"/>
        <v>62411.335420000003</v>
      </c>
      <c r="S13" s="46" t="str">
        <f t="shared" si="14"/>
        <v>LUCRO PRESUMIDO</v>
      </c>
      <c r="T13" s="45"/>
      <c r="U13" s="45"/>
      <c r="V13" s="45"/>
      <c r="W13" s="45"/>
      <c r="X13" s="45"/>
      <c r="Y13" s="45"/>
      <c r="Z13" s="45"/>
      <c r="AA13" s="45"/>
      <c r="AB13" s="45"/>
    </row>
    <row r="14" spans="1:28" ht="22.5" customHeight="1" x14ac:dyDescent="0.3">
      <c r="A14" s="46" t="s">
        <v>87</v>
      </c>
      <c r="B14" s="47">
        <v>106648.08</v>
      </c>
      <c r="C14" s="47">
        <v>18315</v>
      </c>
      <c r="D14" s="47">
        <v>0</v>
      </c>
      <c r="E14" s="47">
        <f t="shared" si="0"/>
        <v>0</v>
      </c>
      <c r="F14" s="47">
        <f t="shared" si="1"/>
        <v>768835.70399999991</v>
      </c>
      <c r="G14" s="47">
        <f t="shared" si="2"/>
        <v>139315</v>
      </c>
      <c r="H14" s="48">
        <f t="shared" si="3"/>
        <v>0.18120256288201728</v>
      </c>
      <c r="I14" s="46" t="str">
        <f t="shared" si="4"/>
        <v>V</v>
      </c>
      <c r="J14" s="53">
        <f t="shared" si="5"/>
        <v>0.18275857714329041</v>
      </c>
      <c r="K14" s="54">
        <f t="shared" si="6"/>
        <v>19490.851355863808</v>
      </c>
      <c r="L14" s="54">
        <f t="shared" si="7"/>
        <v>87157.228644136194</v>
      </c>
      <c r="M14" s="49">
        <f t="shared" si="8"/>
        <v>0.12654673224309337</v>
      </c>
      <c r="N14" s="50">
        <f t="shared" si="9"/>
        <v>13495.966024000001</v>
      </c>
      <c r="O14" s="50">
        <f t="shared" si="10"/>
        <v>93152.113975999993</v>
      </c>
      <c r="P14" s="51">
        <f t="shared" si="11"/>
        <v>0.3553574954185767</v>
      </c>
      <c r="Q14" s="52">
        <f t="shared" si="12"/>
        <v>37898.194600000003</v>
      </c>
      <c r="R14" s="52">
        <f t="shared" si="13"/>
        <v>68749.885399999999</v>
      </c>
      <c r="S14" s="46" t="str">
        <f t="shared" si="14"/>
        <v>LUCRO PRESUMIDO</v>
      </c>
      <c r="T14" s="45"/>
      <c r="U14" s="45"/>
      <c r="V14" s="45"/>
      <c r="W14" s="45"/>
      <c r="X14" s="45"/>
      <c r="Y14" s="45"/>
      <c r="Z14" s="45"/>
      <c r="AA14" s="45"/>
      <c r="AB14" s="45"/>
    </row>
    <row r="15" spans="1:28" ht="22.5" customHeight="1" x14ac:dyDescent="0.3">
      <c r="A15" s="46" t="s">
        <v>88</v>
      </c>
      <c r="B15" s="47">
        <v>113434.776</v>
      </c>
      <c r="C15" s="47">
        <v>18315</v>
      </c>
      <c r="D15" s="47">
        <v>0</v>
      </c>
      <c r="E15" s="47">
        <f t="shared" si="0"/>
        <v>0</v>
      </c>
      <c r="F15" s="47">
        <f t="shared" si="1"/>
        <v>863849.44799999986</v>
      </c>
      <c r="G15" s="47">
        <f t="shared" si="2"/>
        <v>146630</v>
      </c>
      <c r="H15" s="48">
        <f t="shared" si="3"/>
        <v>0.16974022538242106</v>
      </c>
      <c r="I15" s="46" t="str">
        <f t="shared" si="4"/>
        <v>V</v>
      </c>
      <c r="J15" s="53">
        <f t="shared" si="5"/>
        <v>0.18520488403437632</v>
      </c>
      <c r="K15" s="54">
        <f t="shared" si="6"/>
        <v>21008.674534545455</v>
      </c>
      <c r="L15" s="54">
        <f t="shared" si="7"/>
        <v>92426.101465454543</v>
      </c>
      <c r="M15" s="49">
        <f t="shared" si="8"/>
        <v>0.12766872262171172</v>
      </c>
      <c r="N15" s="50">
        <f t="shared" si="9"/>
        <v>14482.072952800001</v>
      </c>
      <c r="O15" s="50">
        <f t="shared" si="10"/>
        <v>98952.70304719999</v>
      </c>
      <c r="P15" s="51">
        <f t="shared" si="11"/>
        <v>0.35997285894054215</v>
      </c>
      <c r="Q15" s="52">
        <f t="shared" si="12"/>
        <v>40833.440619999994</v>
      </c>
      <c r="R15" s="52">
        <f t="shared" si="13"/>
        <v>72601.335380000004</v>
      </c>
      <c r="S15" s="46" t="str">
        <f t="shared" si="14"/>
        <v>LUCRO PRESUMIDO</v>
      </c>
      <c r="T15" s="45"/>
      <c r="U15" s="45"/>
      <c r="V15" s="45"/>
      <c r="W15" s="45"/>
      <c r="X15" s="45"/>
      <c r="Y15" s="45"/>
      <c r="Z15" s="45"/>
      <c r="AA15" s="45"/>
      <c r="AB15" s="45"/>
    </row>
    <row r="16" spans="1:28" ht="22.5" customHeight="1" x14ac:dyDescent="0.3">
      <c r="A16" s="46" t="s">
        <v>89</v>
      </c>
      <c r="B16" s="47">
        <v>120221.47199999999</v>
      </c>
      <c r="C16" s="47">
        <v>18315</v>
      </c>
      <c r="D16" s="47">
        <v>0</v>
      </c>
      <c r="E16" s="47">
        <f t="shared" si="0"/>
        <v>0</v>
      </c>
      <c r="F16" s="47">
        <f t="shared" si="1"/>
        <v>956924.13599999982</v>
      </c>
      <c r="G16" s="47">
        <f t="shared" si="2"/>
        <v>153945</v>
      </c>
      <c r="H16" s="48">
        <f t="shared" si="3"/>
        <v>0.16087482195140287</v>
      </c>
      <c r="I16" s="46" t="str">
        <f t="shared" si="4"/>
        <v>V</v>
      </c>
      <c r="J16" s="53">
        <f t="shared" si="5"/>
        <v>0.18713024485778046</v>
      </c>
      <c r="K16" s="54">
        <f t="shared" si="6"/>
        <v>22497.073492522795</v>
      </c>
      <c r="L16" s="54">
        <f t="shared" si="7"/>
        <v>97724.398507477192</v>
      </c>
      <c r="M16" s="49">
        <f t="shared" si="8"/>
        <v>0.12866403666726023</v>
      </c>
      <c r="N16" s="50">
        <f t="shared" si="9"/>
        <v>15468.179881599999</v>
      </c>
      <c r="O16" s="50">
        <f t="shared" si="10"/>
        <v>104753.2921184</v>
      </c>
      <c r="P16" s="51">
        <f t="shared" si="11"/>
        <v>0.36406713303260835</v>
      </c>
      <c r="Q16" s="52">
        <f t="shared" si="12"/>
        <v>43768.68664</v>
      </c>
      <c r="R16" s="52">
        <f t="shared" si="13"/>
        <v>76452.785359999994</v>
      </c>
      <c r="S16" s="46" t="str">
        <f t="shared" si="14"/>
        <v>LUCRO PRESUMIDO</v>
      </c>
      <c r="T16" s="45"/>
      <c r="U16" s="45"/>
      <c r="V16" s="45"/>
      <c r="W16" s="45"/>
      <c r="X16" s="45"/>
      <c r="Y16" s="45"/>
      <c r="Z16" s="45"/>
      <c r="AA16" s="45"/>
      <c r="AB16" s="45"/>
    </row>
    <row r="17" spans="1:28" ht="22.5" customHeight="1" x14ac:dyDescent="0.3">
      <c r="A17" s="46" t="s">
        <v>90</v>
      </c>
      <c r="B17" s="47">
        <v>127008.16800000001</v>
      </c>
      <c r="C17" s="47">
        <v>18315</v>
      </c>
      <c r="D17" s="47">
        <v>0</v>
      </c>
      <c r="E17" s="47">
        <f t="shared" si="0"/>
        <v>0</v>
      </c>
      <c r="F17" s="47">
        <f t="shared" si="1"/>
        <v>1048059.7679999999</v>
      </c>
      <c r="G17" s="47">
        <f t="shared" si="2"/>
        <v>161260</v>
      </c>
      <c r="H17" s="48">
        <f t="shared" si="3"/>
        <v>0.1538652707829159</v>
      </c>
      <c r="I17" s="46" t="str">
        <f t="shared" si="4"/>
        <v>V</v>
      </c>
      <c r="J17" s="53">
        <f t="shared" si="5"/>
        <v>0.1886841366092778</v>
      </c>
      <c r="K17" s="54">
        <f t="shared" si="6"/>
        <v>23964.426521406105</v>
      </c>
      <c r="L17" s="54">
        <f t="shared" si="7"/>
        <v>103043.7414785939</v>
      </c>
      <c r="M17" s="49">
        <f t="shared" si="8"/>
        <v>0.1295529812728265</v>
      </c>
      <c r="N17" s="50">
        <f t="shared" si="9"/>
        <v>16454.286810400001</v>
      </c>
      <c r="O17" s="50">
        <f t="shared" si="10"/>
        <v>110553.88118960001</v>
      </c>
      <c r="P17" s="51">
        <f t="shared" si="11"/>
        <v>0.36772385111483535</v>
      </c>
      <c r="Q17" s="52">
        <f t="shared" si="12"/>
        <v>46703.932659999999</v>
      </c>
      <c r="R17" s="52">
        <f t="shared" si="13"/>
        <v>80304.235340000014</v>
      </c>
      <c r="S17" s="46" t="str">
        <f t="shared" si="14"/>
        <v>LUCRO PRESUMIDO</v>
      </c>
      <c r="T17" s="45"/>
      <c r="U17" s="45"/>
      <c r="V17" s="45"/>
      <c r="W17" s="45"/>
      <c r="X17" s="45"/>
      <c r="Y17" s="45"/>
      <c r="Z17" s="45"/>
      <c r="AA17" s="45"/>
      <c r="AB17" s="45"/>
    </row>
    <row r="18" spans="1:28" ht="22.5" customHeight="1" x14ac:dyDescent="0.3">
      <c r="A18" s="46" t="s">
        <v>91</v>
      </c>
      <c r="B18" s="47">
        <v>133794.864</v>
      </c>
      <c r="C18" s="47">
        <v>18315</v>
      </c>
      <c r="D18" s="47">
        <v>0</v>
      </c>
      <c r="E18" s="47">
        <f t="shared" si="0"/>
        <v>0</v>
      </c>
      <c r="F18" s="47">
        <f t="shared" si="1"/>
        <v>1137256.3439999998</v>
      </c>
      <c r="G18" s="47">
        <f t="shared" si="2"/>
        <v>168575</v>
      </c>
      <c r="H18" s="48">
        <f t="shared" si="3"/>
        <v>0.14822955342423663</v>
      </c>
      <c r="I18" s="46" t="str">
        <f t="shared" si="4"/>
        <v>V</v>
      </c>
      <c r="J18" s="53">
        <f t="shared" si="5"/>
        <v>0.18996381216933445</v>
      </c>
      <c r="K18" s="54">
        <f t="shared" si="6"/>
        <v>25416.182414117648</v>
      </c>
      <c r="L18" s="54">
        <f t="shared" si="7"/>
        <v>108378.68158588235</v>
      </c>
      <c r="M18" s="49">
        <f t="shared" si="8"/>
        <v>0.13035174309232081</v>
      </c>
      <c r="N18" s="50">
        <f t="shared" si="9"/>
        <v>17440.393739200001</v>
      </c>
      <c r="O18" s="50">
        <f t="shared" si="10"/>
        <v>116354.47026080001</v>
      </c>
      <c r="P18" s="51">
        <f t="shared" si="11"/>
        <v>0.37100959779741616</v>
      </c>
      <c r="Q18" s="52">
        <f t="shared" si="12"/>
        <v>49639.178679999997</v>
      </c>
      <c r="R18" s="52">
        <f t="shared" si="13"/>
        <v>84155.685320000004</v>
      </c>
      <c r="S18" s="46" t="str">
        <f t="shared" si="14"/>
        <v>LUCRO PRESUMIDO</v>
      </c>
      <c r="T18" s="45"/>
      <c r="U18" s="45"/>
      <c r="V18" s="45"/>
      <c r="W18" s="45"/>
      <c r="X18" s="45"/>
      <c r="Y18" s="45"/>
      <c r="Z18" s="45"/>
      <c r="AA18" s="45"/>
      <c r="AB18" s="45"/>
    </row>
    <row r="19" spans="1:28" ht="22.5" customHeight="1" x14ac:dyDescent="0.3">
      <c r="A19" s="46" t="s">
        <v>92</v>
      </c>
      <c r="B19" s="47">
        <v>140581.56</v>
      </c>
      <c r="C19" s="47">
        <v>18315</v>
      </c>
      <c r="D19" s="47">
        <v>0</v>
      </c>
      <c r="E19" s="47">
        <f t="shared" si="0"/>
        <v>0</v>
      </c>
      <c r="F19" s="47">
        <f t="shared" si="1"/>
        <v>1224513.8640000001</v>
      </c>
      <c r="G19" s="47">
        <f t="shared" si="2"/>
        <v>175890</v>
      </c>
      <c r="H19" s="48">
        <f t="shared" si="3"/>
        <v>0.14364067665631591</v>
      </c>
      <c r="I19" s="46" t="str">
        <f t="shared" si="4"/>
        <v>V</v>
      </c>
      <c r="J19" s="53">
        <f t="shared" si="5"/>
        <v>0.1910352744850588</v>
      </c>
      <c r="K19" s="54">
        <f t="shared" si="6"/>
        <v>26856.036902137763</v>
      </c>
      <c r="L19" s="54">
        <f t="shared" si="7"/>
        <v>113725.52309786223</v>
      </c>
      <c r="M19" s="49">
        <f t="shared" si="8"/>
        <v>0.13107338308096736</v>
      </c>
      <c r="N19" s="50">
        <f t="shared" si="9"/>
        <v>18426.500667999997</v>
      </c>
      <c r="O19" s="50">
        <f t="shared" si="10"/>
        <v>122155.059332</v>
      </c>
      <c r="P19" s="51">
        <f t="shared" si="11"/>
        <v>0.37397809997271331</v>
      </c>
      <c r="Q19" s="52">
        <f t="shared" si="12"/>
        <v>52574.424699999996</v>
      </c>
      <c r="R19" s="52">
        <f t="shared" si="13"/>
        <v>88007.135299999994</v>
      </c>
      <c r="S19" s="46" t="str">
        <f t="shared" si="14"/>
        <v>LUCRO PRESUMIDO</v>
      </c>
      <c r="T19" s="45"/>
      <c r="U19" s="45"/>
      <c r="V19" s="45"/>
      <c r="W19" s="45"/>
      <c r="X19" s="45"/>
      <c r="Y19" s="45"/>
      <c r="Z19" s="45"/>
      <c r="AA19" s="45"/>
      <c r="AB19" s="45"/>
    </row>
    <row r="20" spans="1:28" ht="22.5" customHeight="1" x14ac:dyDescent="0.3">
      <c r="A20" s="46" t="s">
        <v>93</v>
      </c>
      <c r="B20" s="47">
        <v>147368.25599999999</v>
      </c>
      <c r="C20" s="47">
        <v>18315</v>
      </c>
      <c r="D20" s="47">
        <v>0</v>
      </c>
      <c r="E20" s="47">
        <f t="shared" si="0"/>
        <v>0</v>
      </c>
      <c r="F20" s="47">
        <f t="shared" si="1"/>
        <v>1310801.8560000001</v>
      </c>
      <c r="G20" s="47">
        <f t="shared" si="2"/>
        <v>183205</v>
      </c>
      <c r="H20" s="48">
        <f t="shared" si="3"/>
        <v>0.13976559398463345</v>
      </c>
      <c r="I20" s="46" t="str">
        <f t="shared" si="4"/>
        <v>V</v>
      </c>
      <c r="J20" s="53">
        <f t="shared" si="5"/>
        <v>0.19195455005519915</v>
      </c>
      <c r="K20" s="54">
        <f t="shared" si="6"/>
        <v>28288.007272899402</v>
      </c>
      <c r="L20" s="54">
        <f t="shared" si="7"/>
        <v>119080.2487271006</v>
      </c>
      <c r="M20" s="49">
        <f t="shared" si="8"/>
        <v>0.13172855622855442</v>
      </c>
      <c r="N20" s="50">
        <f t="shared" si="9"/>
        <v>19412.6075968</v>
      </c>
      <c r="O20" s="50">
        <f t="shared" si="10"/>
        <v>127955.6484032</v>
      </c>
      <c r="P20" s="51">
        <f t="shared" si="11"/>
        <v>0.37667318747396994</v>
      </c>
      <c r="Q20" s="52">
        <f t="shared" si="12"/>
        <v>55509.670719999995</v>
      </c>
      <c r="R20" s="52">
        <f t="shared" si="13"/>
        <v>91858.585279999999</v>
      </c>
      <c r="S20" s="46" t="str">
        <f t="shared" si="14"/>
        <v>LUCRO PRESUMIDO</v>
      </c>
      <c r="T20" s="45"/>
      <c r="U20" s="45"/>
      <c r="V20" s="45"/>
      <c r="W20" s="45"/>
      <c r="X20" s="45"/>
      <c r="Y20" s="45"/>
      <c r="Z20" s="45"/>
      <c r="AA20" s="45"/>
      <c r="AB20" s="45"/>
    </row>
    <row r="21" spans="1:28" ht="22.5" customHeight="1" x14ac:dyDescent="0.3">
      <c r="A21" s="46" t="s">
        <v>94</v>
      </c>
      <c r="B21" s="47">
        <v>153185.424</v>
      </c>
      <c r="C21" s="47">
        <v>18315</v>
      </c>
      <c r="D21" s="47">
        <v>0</v>
      </c>
      <c r="E21" s="47">
        <f t="shared" si="0"/>
        <v>0</v>
      </c>
      <c r="F21" s="47">
        <f t="shared" si="1"/>
        <v>1395150.7919999999</v>
      </c>
      <c r="G21" s="47">
        <f t="shared" si="2"/>
        <v>190520</v>
      </c>
      <c r="H21" s="48">
        <f t="shared" si="3"/>
        <v>0.13655871543955658</v>
      </c>
      <c r="I21" s="46" t="str">
        <f t="shared" si="4"/>
        <v>V</v>
      </c>
      <c r="J21" s="53">
        <f t="shared" si="5"/>
        <v>0.19274326037152834</v>
      </c>
      <c r="K21" s="54">
        <f t="shared" si="6"/>
        <v>29525.458063154965</v>
      </c>
      <c r="L21" s="54">
        <f t="shared" si="7"/>
        <v>123659.96593684504</v>
      </c>
      <c r="M21" s="49">
        <f t="shared" si="8"/>
        <v>0.13224392751101435</v>
      </c>
      <c r="N21" s="50">
        <f t="shared" si="9"/>
        <v>20257.842107199998</v>
      </c>
      <c r="O21" s="50">
        <f t="shared" si="10"/>
        <v>132927.58189279999</v>
      </c>
      <c r="P21" s="51">
        <f t="shared" si="11"/>
        <v>0.37879319301293313</v>
      </c>
      <c r="Q21" s="52">
        <f t="shared" si="12"/>
        <v>58025.595880000001</v>
      </c>
      <c r="R21" s="52">
        <f t="shared" si="13"/>
        <v>95159.828119999991</v>
      </c>
      <c r="S21" s="46" t="str">
        <f t="shared" si="14"/>
        <v>LUCRO PRESUMIDO</v>
      </c>
      <c r="T21" s="45"/>
      <c r="U21" s="45"/>
      <c r="V21" s="45"/>
      <c r="W21" s="45"/>
      <c r="X21" s="45"/>
      <c r="Y21" s="45"/>
      <c r="Z21" s="45"/>
      <c r="AA21" s="45"/>
      <c r="AB21" s="45"/>
    </row>
    <row r="22" spans="1:28" ht="22.5" customHeight="1" x14ac:dyDescent="0.3">
      <c r="A22" s="46" t="s">
        <v>95</v>
      </c>
      <c r="B22" s="47">
        <v>159002.592</v>
      </c>
      <c r="C22" s="47">
        <v>18315</v>
      </c>
      <c r="D22" s="47">
        <v>0</v>
      </c>
      <c r="E22" s="47">
        <f t="shared" si="0"/>
        <v>0</v>
      </c>
      <c r="F22" s="47">
        <f t="shared" si="1"/>
        <v>1477560.672</v>
      </c>
      <c r="G22" s="47">
        <f t="shared" si="2"/>
        <v>197835</v>
      </c>
      <c r="H22" s="48">
        <f t="shared" si="3"/>
        <v>0.13389297898150879</v>
      </c>
      <c r="I22" s="46" t="str">
        <f t="shared" si="4"/>
        <v>V</v>
      </c>
      <c r="J22" s="53">
        <f t="shared" si="5"/>
        <v>0.19342687117757829</v>
      </c>
      <c r="K22" s="54">
        <f t="shared" si="6"/>
        <v>30755.373879685041</v>
      </c>
      <c r="L22" s="54">
        <f t="shared" si="7"/>
        <v>128247.21812031497</v>
      </c>
      <c r="M22" s="49">
        <f t="shared" si="8"/>
        <v>0.1327215886996358</v>
      </c>
      <c r="N22" s="50">
        <f t="shared" si="9"/>
        <v>21103.0766176</v>
      </c>
      <c r="O22" s="50">
        <f t="shared" si="10"/>
        <v>137899.51538240002</v>
      </c>
      <c r="P22" s="51">
        <f t="shared" si="11"/>
        <v>0.38075807619538682</v>
      </c>
      <c r="Q22" s="52">
        <f t="shared" si="12"/>
        <v>60541.521040000007</v>
      </c>
      <c r="R22" s="52">
        <f t="shared" si="13"/>
        <v>98461.070959999997</v>
      </c>
      <c r="S22" s="46" t="str">
        <f t="shared" si="14"/>
        <v>LUCRO PRESUMIDO</v>
      </c>
      <c r="T22" s="45"/>
      <c r="U22" s="45"/>
      <c r="V22" s="45"/>
      <c r="W22" s="45"/>
      <c r="X22" s="45"/>
      <c r="Y22" s="45"/>
      <c r="Z22" s="45"/>
      <c r="AA22" s="45"/>
      <c r="AB22" s="45"/>
    </row>
    <row r="23" spans="1:28" ht="22.5" customHeight="1" x14ac:dyDescent="0.3">
      <c r="A23" s="46" t="s">
        <v>96</v>
      </c>
      <c r="B23" s="47">
        <v>164819.76</v>
      </c>
      <c r="C23" s="47">
        <v>18315</v>
      </c>
      <c r="D23" s="47">
        <v>0</v>
      </c>
      <c r="E23" s="47">
        <f t="shared" si="0"/>
        <v>0</v>
      </c>
      <c r="F23" s="47">
        <f t="shared" si="1"/>
        <v>1558031.4960000003</v>
      </c>
      <c r="G23" s="47">
        <f t="shared" si="2"/>
        <v>205150</v>
      </c>
      <c r="H23" s="48">
        <f t="shared" si="3"/>
        <v>0.13167256279907705</v>
      </c>
      <c r="I23" s="46" t="str">
        <f t="shared" si="4"/>
        <v>V</v>
      </c>
      <c r="J23" s="53">
        <f t="shared" si="5"/>
        <v>0.19402461211862435</v>
      </c>
      <c r="K23" s="54">
        <f t="shared" si="6"/>
        <v>31979.090003484758</v>
      </c>
      <c r="L23" s="54">
        <f t="shared" si="7"/>
        <v>132840.66999651527</v>
      </c>
      <c r="M23" s="49">
        <f t="shared" si="8"/>
        <v>0.13316553262788394</v>
      </c>
      <c r="N23" s="50">
        <f t="shared" si="9"/>
        <v>21948.311128000001</v>
      </c>
      <c r="O23" s="50">
        <f t="shared" si="10"/>
        <v>142871.44887200001</v>
      </c>
      <c r="P23" s="51">
        <f t="shared" si="11"/>
        <v>0.38258426174143201</v>
      </c>
      <c r="Q23" s="52">
        <f t="shared" si="12"/>
        <v>63057.446200000006</v>
      </c>
      <c r="R23" s="52">
        <f t="shared" si="13"/>
        <v>101762.3138</v>
      </c>
      <c r="S23" s="46" t="str">
        <f t="shared" si="14"/>
        <v>LUCRO PRESUMIDO</v>
      </c>
      <c r="T23" s="45"/>
      <c r="U23" s="45"/>
      <c r="V23" s="45"/>
      <c r="W23" s="45"/>
      <c r="X23" s="45"/>
      <c r="Y23" s="45"/>
      <c r="Z23" s="45"/>
      <c r="AA23" s="45"/>
      <c r="AB23" s="45"/>
    </row>
    <row r="24" spans="1:28" ht="22.5" customHeight="1" x14ac:dyDescent="0.3">
      <c r="A24" s="46" t="s">
        <v>97</v>
      </c>
      <c r="B24" s="47">
        <v>170636.92800000001</v>
      </c>
      <c r="C24" s="47">
        <v>18315</v>
      </c>
      <c r="D24" s="47">
        <v>0</v>
      </c>
      <c r="E24" s="47">
        <f t="shared" si="0"/>
        <v>0</v>
      </c>
      <c r="F24" s="47">
        <f t="shared" si="1"/>
        <v>1636563.2640000002</v>
      </c>
      <c r="G24" s="47">
        <f t="shared" si="2"/>
        <v>212465</v>
      </c>
      <c r="H24" s="48">
        <f t="shared" si="3"/>
        <v>0.12982388440071937</v>
      </c>
      <c r="I24" s="46" t="str">
        <f t="shared" si="4"/>
        <v>V</v>
      </c>
      <c r="J24" s="53">
        <f t="shared" si="5"/>
        <v>0.19455127468876143</v>
      </c>
      <c r="K24" s="54">
        <f t="shared" si="6"/>
        <v>33197.631851374412</v>
      </c>
      <c r="L24" s="54">
        <f t="shared" si="7"/>
        <v>137439.29614862561</v>
      </c>
      <c r="M24" s="49">
        <f t="shared" si="8"/>
        <v>0.13357920765193335</v>
      </c>
      <c r="N24" s="50">
        <f t="shared" si="9"/>
        <v>22793.545638399999</v>
      </c>
      <c r="O24" s="50">
        <f t="shared" si="10"/>
        <v>147843.3823616</v>
      </c>
      <c r="P24" s="51">
        <f t="shared" si="11"/>
        <v>0.38428593463661043</v>
      </c>
      <c r="Q24" s="52">
        <f t="shared" si="12"/>
        <v>65573.371360000005</v>
      </c>
      <c r="R24" s="52">
        <f t="shared" si="13"/>
        <v>105063.55664000001</v>
      </c>
      <c r="S24" s="46" t="str">
        <f t="shared" si="14"/>
        <v>LUCRO PRESUMIDO</v>
      </c>
      <c r="T24" s="45"/>
      <c r="U24" s="45"/>
      <c r="V24" s="45"/>
      <c r="W24" s="45"/>
      <c r="X24" s="45"/>
      <c r="Y24" s="45"/>
      <c r="Z24" s="45"/>
      <c r="AA24" s="45"/>
      <c r="AB24" s="45"/>
    </row>
    <row r="25" spans="1:28" ht="22.5" customHeight="1" x14ac:dyDescent="0.3">
      <c r="A25" s="46" t="s">
        <v>98</v>
      </c>
      <c r="B25" s="47">
        <v>176454.09599999999</v>
      </c>
      <c r="C25" s="47">
        <v>18315</v>
      </c>
      <c r="D25" s="47">
        <v>0</v>
      </c>
      <c r="E25" s="47">
        <f t="shared" si="0"/>
        <v>0</v>
      </c>
      <c r="F25" s="47">
        <f t="shared" si="1"/>
        <v>1713155.976</v>
      </c>
      <c r="G25" s="47">
        <f t="shared" si="2"/>
        <v>219780</v>
      </c>
      <c r="H25" s="48">
        <f t="shared" si="3"/>
        <v>0.12828954460594894</v>
      </c>
      <c r="I25" s="46" t="str">
        <f t="shared" si="4"/>
        <v>V</v>
      </c>
      <c r="J25" s="53">
        <f t="shared" si="5"/>
        <v>0.19501842200035613</v>
      </c>
      <c r="K25" s="54">
        <f t="shared" si="6"/>
        <v>34411.799357419353</v>
      </c>
      <c r="L25" s="54">
        <f t="shared" si="7"/>
        <v>142042.29664258065</v>
      </c>
      <c r="M25" s="49">
        <f t="shared" si="8"/>
        <v>0.13396560739967181</v>
      </c>
      <c r="N25" s="50">
        <f t="shared" si="9"/>
        <v>23638.7801488</v>
      </c>
      <c r="O25" s="50">
        <f t="shared" si="10"/>
        <v>152815.31585119999</v>
      </c>
      <c r="P25" s="51">
        <f t="shared" si="11"/>
        <v>0.38587540931892</v>
      </c>
      <c r="Q25" s="52">
        <f t="shared" si="12"/>
        <v>68089.296520000004</v>
      </c>
      <c r="R25" s="52">
        <f t="shared" si="13"/>
        <v>108364.79947999999</v>
      </c>
      <c r="S25" s="46" t="str">
        <f t="shared" si="14"/>
        <v>LUCRO PRESUMIDO</v>
      </c>
      <c r="T25" s="45"/>
      <c r="U25" s="45"/>
      <c r="V25" s="45"/>
      <c r="W25" s="45"/>
      <c r="X25" s="45"/>
      <c r="Y25" s="45"/>
      <c r="Z25" s="45"/>
      <c r="AA25" s="45"/>
      <c r="AB25" s="45"/>
    </row>
    <row r="26" spans="1:28" ht="22.5" customHeight="1" x14ac:dyDescent="0.3">
      <c r="A26" s="46" t="s">
        <v>99</v>
      </c>
      <c r="B26" s="47">
        <v>182271.264</v>
      </c>
      <c r="C26" s="47">
        <v>25530</v>
      </c>
      <c r="D26" s="47">
        <v>0</v>
      </c>
      <c r="E26" s="47">
        <f t="shared" si="0"/>
        <v>0</v>
      </c>
      <c r="F26" s="47">
        <f t="shared" si="1"/>
        <v>1788779.16</v>
      </c>
      <c r="G26" s="47">
        <f t="shared" si="2"/>
        <v>226995</v>
      </c>
      <c r="H26" s="48">
        <f t="shared" si="3"/>
        <v>0.12689939880560774</v>
      </c>
      <c r="I26" s="46" t="str">
        <f t="shared" si="4"/>
        <v>V</v>
      </c>
      <c r="J26" s="53">
        <f t="shared" si="5"/>
        <v>0.19544040741172317</v>
      </c>
      <c r="K26" s="54">
        <f t="shared" si="6"/>
        <v>35623.170095609748</v>
      </c>
      <c r="L26" s="54">
        <f t="shared" si="7"/>
        <v>146648.09390439023</v>
      </c>
      <c r="M26" s="49">
        <f t="shared" si="8"/>
        <v>0.13432734333372484</v>
      </c>
      <c r="N26" s="50">
        <f t="shared" si="9"/>
        <v>24484.014659199998</v>
      </c>
      <c r="O26" s="50">
        <f t="shared" si="10"/>
        <v>157787.24934079999</v>
      </c>
      <c r="P26" s="51">
        <f t="shared" si="11"/>
        <v>0.37390491613642401</v>
      </c>
      <c r="Q26" s="52">
        <f t="shared" si="12"/>
        <v>68152.121679999997</v>
      </c>
      <c r="R26" s="52">
        <f t="shared" si="13"/>
        <v>114119.14232</v>
      </c>
      <c r="S26" s="46" t="str">
        <f t="shared" si="14"/>
        <v>LUCRO PRESUMIDO</v>
      </c>
      <c r="T26" s="45"/>
      <c r="U26" s="45"/>
      <c r="V26" s="45"/>
      <c r="W26" s="45"/>
      <c r="X26" s="45"/>
      <c r="Y26" s="45"/>
      <c r="Z26" s="45"/>
      <c r="AA26" s="45"/>
      <c r="AB26" s="45"/>
    </row>
    <row r="27" spans="1:28" ht="22.5" customHeight="1" x14ac:dyDescent="0.3">
      <c r="A27" s="46" t="s">
        <v>100</v>
      </c>
      <c r="B27" s="47">
        <v>188088.432</v>
      </c>
      <c r="C27" s="47">
        <v>25530</v>
      </c>
      <c r="D27" s="47">
        <v>0</v>
      </c>
      <c r="E27" s="47">
        <f t="shared" si="0"/>
        <v>0</v>
      </c>
      <c r="F27" s="47">
        <f t="shared" si="1"/>
        <v>1863432.8160000001</v>
      </c>
      <c r="G27" s="47">
        <f t="shared" si="2"/>
        <v>234210</v>
      </c>
      <c r="H27" s="48">
        <f t="shared" si="3"/>
        <v>0.12568738619874129</v>
      </c>
      <c r="I27" s="46" t="str">
        <f t="shared" si="4"/>
        <v>V</v>
      </c>
      <c r="J27" s="53">
        <f t="shared" si="5"/>
        <v>0.19667440893667293</v>
      </c>
      <c r="K27" s="54">
        <f t="shared" si="6"/>
        <v>36992.181191425596</v>
      </c>
      <c r="L27" s="54">
        <f t="shared" si="7"/>
        <v>151096.2508085744</v>
      </c>
      <c r="M27" s="49">
        <f t="shared" si="8"/>
        <v>0.13466670384917667</v>
      </c>
      <c r="N27" s="50">
        <f t="shared" si="9"/>
        <v>25329.249169600003</v>
      </c>
      <c r="O27" s="50">
        <f t="shared" si="10"/>
        <v>162759.18283040001</v>
      </c>
      <c r="P27" s="51">
        <f t="shared" si="11"/>
        <v>0.37571713522498817</v>
      </c>
      <c r="Q27" s="52">
        <f t="shared" si="12"/>
        <v>70668.046839999995</v>
      </c>
      <c r="R27" s="52">
        <f t="shared" si="13"/>
        <v>117420.38516000001</v>
      </c>
      <c r="S27" s="46" t="str">
        <f t="shared" si="14"/>
        <v>LUCRO PRESUMIDO</v>
      </c>
      <c r="T27" s="45"/>
      <c r="U27" s="45"/>
      <c r="V27" s="45"/>
      <c r="W27" s="45"/>
      <c r="X27" s="45"/>
      <c r="Y27" s="45"/>
      <c r="Z27" s="45"/>
      <c r="AA27" s="45"/>
      <c r="AB27" s="45"/>
    </row>
    <row r="28" spans="1:28" ht="22.5" customHeight="1" x14ac:dyDescent="0.3">
      <c r="A28" s="46" t="s">
        <v>101</v>
      </c>
      <c r="B28" s="47">
        <v>193905.6</v>
      </c>
      <c r="C28" s="47">
        <v>25530</v>
      </c>
      <c r="D28" s="47">
        <v>0</v>
      </c>
      <c r="E28" s="47">
        <f t="shared" si="0"/>
        <v>0</v>
      </c>
      <c r="F28" s="47">
        <f t="shared" si="1"/>
        <v>1937116.9440000001</v>
      </c>
      <c r="G28" s="47">
        <f t="shared" si="2"/>
        <v>241425</v>
      </c>
      <c r="H28" s="48">
        <f t="shared" si="3"/>
        <v>0.12463109196777537</v>
      </c>
      <c r="I28" s="46" t="str">
        <f t="shared" si="4"/>
        <v>V</v>
      </c>
      <c r="J28" s="53">
        <f t="shared" si="5"/>
        <v>0.19794204903717988</v>
      </c>
      <c r="K28" s="54">
        <f t="shared" si="6"/>
        <v>38382.071783783787</v>
      </c>
      <c r="L28" s="54">
        <f t="shared" si="7"/>
        <v>155523.52821621622</v>
      </c>
      <c r="M28" s="49">
        <f t="shared" si="8"/>
        <v>0.13498570273370136</v>
      </c>
      <c r="N28" s="50">
        <f t="shared" si="9"/>
        <v>26174.483680000001</v>
      </c>
      <c r="O28" s="50">
        <f t="shared" si="10"/>
        <v>167731.11632</v>
      </c>
      <c r="P28" s="51">
        <f t="shared" si="11"/>
        <v>0.37742062116823855</v>
      </c>
      <c r="Q28" s="52">
        <f t="shared" si="12"/>
        <v>73183.971999999994</v>
      </c>
      <c r="R28" s="52">
        <f t="shared" si="13"/>
        <v>120721.62800000001</v>
      </c>
      <c r="S28" s="46" t="str">
        <f t="shared" si="14"/>
        <v>LUCRO PRESUMIDO</v>
      </c>
      <c r="T28" s="45"/>
      <c r="U28" s="45"/>
      <c r="V28" s="45"/>
      <c r="W28" s="45"/>
      <c r="X28" s="45"/>
      <c r="Y28" s="45"/>
      <c r="Z28" s="45"/>
      <c r="AA28" s="45"/>
      <c r="AB28" s="45"/>
    </row>
    <row r="29" spans="1:28" ht="22.5" customHeight="1" x14ac:dyDescent="0.3">
      <c r="A29" s="46" t="s">
        <v>102</v>
      </c>
      <c r="B29" s="47">
        <v>199722.76800000001</v>
      </c>
      <c r="C29" s="47">
        <v>25530</v>
      </c>
      <c r="D29" s="47">
        <v>0</v>
      </c>
      <c r="E29" s="47">
        <f t="shared" si="0"/>
        <v>0</v>
      </c>
      <c r="F29" s="47">
        <f t="shared" si="1"/>
        <v>2009831.544</v>
      </c>
      <c r="G29" s="47">
        <f t="shared" si="2"/>
        <v>248640</v>
      </c>
      <c r="H29" s="48">
        <f t="shared" si="3"/>
        <v>0.12371186069910743</v>
      </c>
      <c r="I29" s="46" t="str">
        <f t="shared" si="4"/>
        <v>V</v>
      </c>
      <c r="J29" s="53">
        <f t="shared" si="5"/>
        <v>0.19910188807346138</v>
      </c>
      <c r="K29" s="54">
        <f t="shared" si="6"/>
        <v>39765.180200057897</v>
      </c>
      <c r="L29" s="54">
        <f t="shared" si="7"/>
        <v>159957.58779994212</v>
      </c>
      <c r="M29" s="49">
        <f t="shared" si="8"/>
        <v>0.13528611915893335</v>
      </c>
      <c r="N29" s="50">
        <f t="shared" si="9"/>
        <v>27019.718190400003</v>
      </c>
      <c r="O29" s="50">
        <f t="shared" si="10"/>
        <v>172703.04980959999</v>
      </c>
      <c r="P29" s="51">
        <f t="shared" si="11"/>
        <v>0.37902487492061998</v>
      </c>
      <c r="Q29" s="52">
        <f t="shared" si="12"/>
        <v>75699.897160000008</v>
      </c>
      <c r="R29" s="52">
        <f t="shared" si="13"/>
        <v>124022.87084</v>
      </c>
      <c r="S29" s="46" t="str">
        <f t="shared" si="14"/>
        <v>LUCRO PRESUMIDO</v>
      </c>
      <c r="T29" s="45"/>
      <c r="U29" s="45"/>
      <c r="V29" s="45"/>
      <c r="W29" s="45"/>
      <c r="X29" s="45"/>
      <c r="Y29" s="45"/>
      <c r="Z29" s="45"/>
      <c r="AA29" s="45"/>
      <c r="AB29" s="45"/>
    </row>
    <row r="30" spans="1:28" ht="22.5" customHeight="1" x14ac:dyDescent="0.3">
      <c r="A30" s="46" t="s">
        <v>103</v>
      </c>
      <c r="B30" s="47">
        <v>204570.408</v>
      </c>
      <c r="C30" s="47">
        <v>25530</v>
      </c>
      <c r="D30" s="47">
        <v>0</v>
      </c>
      <c r="E30" s="47">
        <f t="shared" si="0"/>
        <v>0</v>
      </c>
      <c r="F30" s="47">
        <f t="shared" si="1"/>
        <v>2080607.088</v>
      </c>
      <c r="G30" s="47">
        <f t="shared" si="2"/>
        <v>255855</v>
      </c>
      <c r="H30" s="48">
        <f t="shared" si="3"/>
        <v>0.12297131999388825</v>
      </c>
      <c r="I30" s="46" t="str">
        <f t="shared" si="4"/>
        <v>V</v>
      </c>
      <c r="J30" s="53">
        <f t="shared" si="5"/>
        <v>0.20015294220702953</v>
      </c>
      <c r="K30" s="54">
        <f t="shared" si="6"/>
        <v>40945.369049692454</v>
      </c>
      <c r="L30" s="54">
        <f t="shared" si="7"/>
        <v>163625.03895030753</v>
      </c>
      <c r="M30" s="49">
        <f t="shared" si="8"/>
        <v>0.13552341491346098</v>
      </c>
      <c r="N30" s="50">
        <f t="shared" si="9"/>
        <v>27724.080282399998</v>
      </c>
      <c r="O30" s="50">
        <f t="shared" si="10"/>
        <v>176846.32771759998</v>
      </c>
      <c r="P30" s="51">
        <f t="shared" si="11"/>
        <v>0.38029205797937304</v>
      </c>
      <c r="Q30" s="52">
        <f t="shared" si="12"/>
        <v>77796.501459999999</v>
      </c>
      <c r="R30" s="52">
        <f t="shared" si="13"/>
        <v>126773.90654</v>
      </c>
      <c r="S30" s="46" t="str">
        <f t="shared" si="14"/>
        <v>LUCRO PRESUMIDO</v>
      </c>
      <c r="T30" s="45"/>
      <c r="U30" s="45"/>
      <c r="V30" s="45"/>
      <c r="W30" s="45"/>
      <c r="X30" s="45"/>
      <c r="Y30" s="45"/>
      <c r="Z30" s="45"/>
      <c r="AA30" s="45"/>
      <c r="AB30" s="45"/>
    </row>
    <row r="31" spans="1:28" ht="22.5" customHeight="1" x14ac:dyDescent="0.3">
      <c r="A31" s="46" t="s">
        <v>104</v>
      </c>
      <c r="B31" s="47">
        <v>209418.04800000001</v>
      </c>
      <c r="C31" s="47">
        <v>25530</v>
      </c>
      <c r="D31" s="47">
        <v>0</v>
      </c>
      <c r="E31" s="47">
        <f t="shared" si="0"/>
        <v>0</v>
      </c>
      <c r="F31" s="47">
        <f t="shared" si="1"/>
        <v>2149443.5760000004</v>
      </c>
      <c r="G31" s="47">
        <f t="shared" si="2"/>
        <v>263070</v>
      </c>
      <c r="H31" s="48">
        <f t="shared" si="3"/>
        <v>0.12238981424651268</v>
      </c>
      <c r="I31" s="46" t="str">
        <f t="shared" si="4"/>
        <v>V</v>
      </c>
      <c r="J31" s="53">
        <f t="shared" si="5"/>
        <v>0.20110880197396724</v>
      </c>
      <c r="K31" s="54">
        <f t="shared" si="6"/>
        <v>42115.81274500677</v>
      </c>
      <c r="L31" s="54">
        <f t="shared" si="7"/>
        <v>167302.23525499325</v>
      </c>
      <c r="M31" s="49">
        <f t="shared" si="8"/>
        <v>0.13574972475342717</v>
      </c>
      <c r="N31" s="50">
        <f t="shared" si="9"/>
        <v>28428.442374400001</v>
      </c>
      <c r="O31" s="50">
        <f t="shared" si="10"/>
        <v>180989.6056256</v>
      </c>
      <c r="P31" s="51">
        <f t="shared" si="11"/>
        <v>0.38150057515577646</v>
      </c>
      <c r="Q31" s="52">
        <f t="shared" si="12"/>
        <v>79893.105760000006</v>
      </c>
      <c r="R31" s="52">
        <f t="shared" si="13"/>
        <v>129524.94224</v>
      </c>
      <c r="S31" s="46" t="str">
        <f t="shared" si="14"/>
        <v>LUCRO PRESUMIDO</v>
      </c>
      <c r="T31" s="45"/>
      <c r="U31" s="45"/>
      <c r="V31" s="45"/>
      <c r="W31" s="45"/>
      <c r="X31" s="45"/>
      <c r="Y31" s="45"/>
      <c r="Z31" s="45"/>
      <c r="AA31" s="45"/>
      <c r="AB31" s="45"/>
    </row>
    <row r="32" spans="1:28" ht="22.5" customHeight="1" x14ac:dyDescent="0.3">
      <c r="A32" s="46" t="s">
        <v>105</v>
      </c>
      <c r="B32" s="47">
        <v>214265.68799999999</v>
      </c>
      <c r="C32" s="47">
        <v>25530</v>
      </c>
      <c r="D32" s="47">
        <v>0</v>
      </c>
      <c r="E32" s="47">
        <f t="shared" si="0"/>
        <v>0</v>
      </c>
      <c r="F32" s="47">
        <f t="shared" si="1"/>
        <v>2216341.0079999999</v>
      </c>
      <c r="G32" s="47">
        <f t="shared" si="2"/>
        <v>270285</v>
      </c>
      <c r="H32" s="48">
        <f t="shared" si="3"/>
        <v>0.12195099897731984</v>
      </c>
      <c r="I32" s="46" t="str">
        <f t="shared" si="4"/>
        <v>V</v>
      </c>
      <c r="J32" s="53">
        <f t="shared" si="5"/>
        <v>0.20198084600887373</v>
      </c>
      <c r="K32" s="54">
        <f t="shared" si="6"/>
        <v>43277.564932913381</v>
      </c>
      <c r="L32" s="54">
        <f t="shared" si="7"/>
        <v>170988.12306708662</v>
      </c>
      <c r="M32" s="49">
        <f t="shared" si="8"/>
        <v>0.13596579432914149</v>
      </c>
      <c r="N32" s="50">
        <f t="shared" si="9"/>
        <v>29132.804466400001</v>
      </c>
      <c r="O32" s="50">
        <f t="shared" si="10"/>
        <v>185132.88353359999</v>
      </c>
      <c r="P32" s="51">
        <f t="shared" si="11"/>
        <v>0.3826544082970485</v>
      </c>
      <c r="Q32" s="52">
        <f t="shared" si="12"/>
        <v>81989.710059999998</v>
      </c>
      <c r="R32" s="52">
        <f t="shared" si="13"/>
        <v>132275.97794000001</v>
      </c>
      <c r="S32" s="46" t="str">
        <f t="shared" si="14"/>
        <v>LUCRO PRESUMIDO</v>
      </c>
      <c r="T32" s="45"/>
      <c r="U32" s="45"/>
      <c r="V32" s="45"/>
      <c r="W32" s="45"/>
      <c r="X32" s="45"/>
      <c r="Y32" s="45"/>
      <c r="Z32" s="45"/>
      <c r="AA32" s="45"/>
      <c r="AB32" s="45"/>
    </row>
    <row r="33" spans="1:28" ht="22.5" customHeight="1" x14ac:dyDescent="0.3">
      <c r="A33" s="46" t="s">
        <v>106</v>
      </c>
      <c r="B33" s="47">
        <v>219113.32800000001</v>
      </c>
      <c r="C33" s="47">
        <v>25530</v>
      </c>
      <c r="D33" s="47">
        <v>0</v>
      </c>
      <c r="E33" s="47">
        <f t="shared" si="0"/>
        <v>0</v>
      </c>
      <c r="F33" s="47">
        <f t="shared" si="1"/>
        <v>2282268.912</v>
      </c>
      <c r="G33" s="47">
        <f t="shared" si="2"/>
        <v>277500</v>
      </c>
      <c r="H33" s="48">
        <f t="shared" si="3"/>
        <v>0.12158952809676619</v>
      </c>
      <c r="I33" s="46" t="str">
        <f t="shared" si="4"/>
        <v>V</v>
      </c>
      <c r="J33" s="53">
        <f t="shared" si="5"/>
        <v>0.20279023533402096</v>
      </c>
      <c r="K33" s="54">
        <f t="shared" si="6"/>
        <v>44434.043349940526</v>
      </c>
      <c r="L33" s="54">
        <f t="shared" si="7"/>
        <v>174679.28465005948</v>
      </c>
      <c r="M33" s="49">
        <f t="shared" si="8"/>
        <v>0.13617230330416047</v>
      </c>
      <c r="N33" s="50">
        <f t="shared" si="9"/>
        <v>29837.1665584</v>
      </c>
      <c r="O33" s="50">
        <f t="shared" si="10"/>
        <v>189276.16144160001</v>
      </c>
      <c r="P33" s="51">
        <f t="shared" si="11"/>
        <v>0.38375718687454741</v>
      </c>
      <c r="Q33" s="52">
        <f t="shared" si="12"/>
        <v>84086.314360000004</v>
      </c>
      <c r="R33" s="52">
        <f t="shared" si="13"/>
        <v>135027.01364000002</v>
      </c>
      <c r="S33" s="46" t="str">
        <f t="shared" si="14"/>
        <v>LUCRO PRESUMIDO</v>
      </c>
      <c r="T33" s="45"/>
      <c r="U33" s="45"/>
      <c r="V33" s="45"/>
      <c r="W33" s="45"/>
      <c r="X33" s="45"/>
      <c r="Y33" s="45"/>
      <c r="Z33" s="45"/>
      <c r="AA33" s="45"/>
      <c r="AB33" s="45"/>
    </row>
    <row r="34" spans="1:28" ht="22.5" customHeight="1" x14ac:dyDescent="0.3">
      <c r="A34" s="46" t="s">
        <v>107</v>
      </c>
      <c r="B34" s="47">
        <v>223960.96799999999</v>
      </c>
      <c r="C34" s="47">
        <v>25530</v>
      </c>
      <c r="D34" s="47">
        <v>0</v>
      </c>
      <c r="E34" s="47">
        <f t="shared" si="0"/>
        <v>0</v>
      </c>
      <c r="F34" s="47">
        <f t="shared" si="1"/>
        <v>2347227.2880000002</v>
      </c>
      <c r="G34" s="47">
        <f t="shared" si="2"/>
        <v>284715</v>
      </c>
      <c r="H34" s="48">
        <f t="shared" si="3"/>
        <v>0.12129843643842299</v>
      </c>
      <c r="I34" s="46" t="str">
        <f t="shared" si="4"/>
        <v>V</v>
      </c>
      <c r="J34" s="53">
        <f t="shared" si="5"/>
        <v>0.20354325236525625</v>
      </c>
      <c r="K34" s="54">
        <f t="shared" si="6"/>
        <v>45585.743829591076</v>
      </c>
      <c r="L34" s="54">
        <f t="shared" si="7"/>
        <v>178375.22417040891</v>
      </c>
      <c r="M34" s="49">
        <f t="shared" si="8"/>
        <v>0.13636987249671112</v>
      </c>
      <c r="N34" s="50">
        <f t="shared" si="9"/>
        <v>30541.5286504</v>
      </c>
      <c r="O34" s="50">
        <f t="shared" si="10"/>
        <v>193419.4393496</v>
      </c>
      <c r="P34" s="51">
        <f t="shared" si="11"/>
        <v>0.38481222611968707</v>
      </c>
      <c r="Q34" s="52">
        <f t="shared" si="12"/>
        <v>86182.918659999996</v>
      </c>
      <c r="R34" s="52">
        <f t="shared" si="13"/>
        <v>137778.04934</v>
      </c>
      <c r="S34" s="46" t="str">
        <f t="shared" si="14"/>
        <v>LUCRO PRESUMIDO</v>
      </c>
      <c r="T34" s="45"/>
      <c r="U34" s="45"/>
      <c r="V34" s="45"/>
      <c r="W34" s="45"/>
      <c r="X34" s="45"/>
      <c r="Y34" s="45"/>
      <c r="Z34" s="45"/>
      <c r="AA34" s="45"/>
      <c r="AB34" s="45"/>
    </row>
    <row r="35" spans="1:28" ht="22.5" customHeight="1" x14ac:dyDescent="0.3">
      <c r="A35" s="46" t="s">
        <v>108</v>
      </c>
      <c r="B35" s="47">
        <v>228808.60800000001</v>
      </c>
      <c r="C35" s="47">
        <v>25530</v>
      </c>
      <c r="D35" s="47">
        <v>0</v>
      </c>
      <c r="E35" s="47">
        <f t="shared" si="0"/>
        <v>0</v>
      </c>
      <c r="F35" s="47">
        <f t="shared" si="1"/>
        <v>2411216.1359999999</v>
      </c>
      <c r="G35" s="47">
        <f t="shared" si="2"/>
        <v>291930</v>
      </c>
      <c r="H35" s="48">
        <f t="shared" si="3"/>
        <v>0.12107168479897731</v>
      </c>
      <c r="I35" s="46" t="str">
        <f t="shared" si="4"/>
        <v>V</v>
      </c>
      <c r="J35" s="53">
        <f t="shared" si="5"/>
        <v>0.20424536147015901</v>
      </c>
      <c r="K35" s="54">
        <f t="shared" si="6"/>
        <v>46733.096848443914</v>
      </c>
      <c r="L35" s="54">
        <f t="shared" si="7"/>
        <v>182075.5111515561</v>
      </c>
      <c r="M35" s="49">
        <f t="shared" si="8"/>
        <v>0.13655907011330623</v>
      </c>
      <c r="N35" s="50">
        <f t="shared" si="9"/>
        <v>31245.890742399999</v>
      </c>
      <c r="O35" s="50">
        <f t="shared" si="10"/>
        <v>197562.71725760002</v>
      </c>
      <c r="P35" s="51">
        <f t="shared" si="11"/>
        <v>0.38582256031206658</v>
      </c>
      <c r="Q35" s="52">
        <f t="shared" si="12"/>
        <v>88279.522960000002</v>
      </c>
      <c r="R35" s="52">
        <f t="shared" si="13"/>
        <v>140529.08504000001</v>
      </c>
      <c r="S35" s="46" t="str">
        <f t="shared" si="14"/>
        <v>LUCRO PRESUMIDO</v>
      </c>
      <c r="T35" s="45"/>
      <c r="U35" s="45"/>
      <c r="V35" s="45"/>
      <c r="W35" s="45"/>
      <c r="X35" s="45"/>
      <c r="Y35" s="45"/>
      <c r="Z35" s="45"/>
      <c r="AA35" s="45"/>
      <c r="AB35" s="45"/>
    </row>
    <row r="36" spans="1:28" ht="22.5" customHeight="1" x14ac:dyDescent="0.3">
      <c r="A36" s="46" t="s">
        <v>109</v>
      </c>
      <c r="B36" s="47">
        <v>233656.24799999999</v>
      </c>
      <c r="C36" s="47">
        <v>25530</v>
      </c>
      <c r="D36" s="47">
        <v>0</v>
      </c>
      <c r="E36" s="47">
        <f t="shared" si="0"/>
        <v>0</v>
      </c>
      <c r="F36" s="47">
        <f t="shared" si="1"/>
        <v>2474235.4560000002</v>
      </c>
      <c r="G36" s="47">
        <f t="shared" si="2"/>
        <v>299145</v>
      </c>
      <c r="H36" s="48">
        <f t="shared" si="3"/>
        <v>0.1209040147228413</v>
      </c>
      <c r="I36" s="46" t="str">
        <f t="shared" si="4"/>
        <v>V</v>
      </c>
      <c r="J36" s="53">
        <f t="shared" si="5"/>
        <v>0.20490133776500211</v>
      </c>
      <c r="K36" s="54">
        <f t="shared" si="6"/>
        <v>47876.477792351099</v>
      </c>
      <c r="L36" s="54">
        <f t="shared" si="7"/>
        <v>185779.77020764889</v>
      </c>
      <c r="M36" s="49">
        <f t="shared" si="8"/>
        <v>0.13674041720639118</v>
      </c>
      <c r="N36" s="50">
        <f t="shared" si="9"/>
        <v>31950.252834400002</v>
      </c>
      <c r="O36" s="50">
        <f t="shared" si="10"/>
        <v>201705.99516559998</v>
      </c>
      <c r="P36" s="51">
        <f t="shared" si="11"/>
        <v>0.38679097192384942</v>
      </c>
      <c r="Q36" s="52">
        <f t="shared" si="12"/>
        <v>90376.127259999994</v>
      </c>
      <c r="R36" s="52">
        <f t="shared" si="13"/>
        <v>143280.12073999998</v>
      </c>
      <c r="S36" s="46" t="str">
        <f t="shared" si="14"/>
        <v>LUCRO PRESUMIDO</v>
      </c>
      <c r="T36" s="45"/>
      <c r="U36" s="45"/>
      <c r="V36" s="45"/>
      <c r="W36" s="45"/>
      <c r="X36" s="45"/>
      <c r="Y36" s="45"/>
      <c r="Z36" s="45"/>
      <c r="AA36" s="45"/>
      <c r="AB36" s="45"/>
    </row>
    <row r="37" spans="1:28" ht="22.5" customHeight="1" x14ac:dyDescent="0.3">
      <c r="A37" s="46" t="s">
        <v>110</v>
      </c>
      <c r="B37" s="47">
        <v>238503.88800000001</v>
      </c>
      <c r="C37" s="47">
        <v>25530</v>
      </c>
      <c r="D37" s="47">
        <v>0</v>
      </c>
      <c r="E37" s="47">
        <f t="shared" si="0"/>
        <v>0</v>
      </c>
      <c r="F37" s="47">
        <f t="shared" si="1"/>
        <v>2536285.2480000001</v>
      </c>
      <c r="G37" s="47">
        <f t="shared" si="2"/>
        <v>306360</v>
      </c>
      <c r="H37" s="48">
        <f t="shared" si="3"/>
        <v>0.12079082991220394</v>
      </c>
      <c r="I37" s="46" t="str">
        <f t="shared" si="4"/>
        <v>V</v>
      </c>
      <c r="J37" s="53">
        <f t="shared" si="5"/>
        <v>0.20551537231509379</v>
      </c>
      <c r="K37" s="54">
        <f t="shared" si="6"/>
        <v>49016.215340917428</v>
      </c>
      <c r="L37" s="54">
        <f t="shared" si="7"/>
        <v>189487.67265908257</v>
      </c>
      <c r="M37" s="49">
        <f t="shared" si="8"/>
        <v>0.13691439246642384</v>
      </c>
      <c r="N37" s="50">
        <f t="shared" si="9"/>
        <v>32654.614926399998</v>
      </c>
      <c r="O37" s="50">
        <f t="shared" si="10"/>
        <v>205849.27307360002</v>
      </c>
      <c r="P37" s="51">
        <f t="shared" si="11"/>
        <v>0.38772001720995003</v>
      </c>
      <c r="Q37" s="52">
        <f t="shared" si="12"/>
        <v>92472.73156</v>
      </c>
      <c r="R37" s="52">
        <f t="shared" si="13"/>
        <v>146031.15643999999</v>
      </c>
      <c r="S37" s="46" t="str">
        <f t="shared" si="14"/>
        <v>LUCRO PRESUMIDO</v>
      </c>
      <c r="T37" s="45"/>
      <c r="U37" s="45"/>
      <c r="V37" s="45"/>
      <c r="W37" s="45"/>
      <c r="X37" s="45"/>
      <c r="Y37" s="45"/>
      <c r="Z37" s="45"/>
      <c r="AA37" s="45"/>
      <c r="AB37" s="45"/>
    </row>
    <row r="38" spans="1:28" ht="22.5" customHeight="1" x14ac:dyDescent="0.3">
      <c r="A38" s="46" t="s">
        <v>111</v>
      </c>
      <c r="B38" s="47">
        <v>243351.52799999999</v>
      </c>
      <c r="C38" s="47">
        <v>32745</v>
      </c>
      <c r="D38" s="47">
        <v>0</v>
      </c>
      <c r="E38" s="47">
        <f t="shared" si="0"/>
        <v>0</v>
      </c>
      <c r="F38" s="47">
        <f t="shared" si="1"/>
        <v>2597365.5120000001</v>
      </c>
      <c r="G38" s="47">
        <f t="shared" si="2"/>
        <v>313575</v>
      </c>
      <c r="H38" s="48">
        <f t="shared" si="3"/>
        <v>0.12072809874130645</v>
      </c>
      <c r="I38" s="46" t="str">
        <f t="shared" si="4"/>
        <v>V</v>
      </c>
      <c r="J38" s="53">
        <f t="shared" si="5"/>
        <v>0.20609115863243202</v>
      </c>
      <c r="K38" s="54">
        <f t="shared" si="6"/>
        <v>50152.598360492724</v>
      </c>
      <c r="L38" s="54">
        <f t="shared" si="7"/>
        <v>193198.92963950726</v>
      </c>
      <c r="M38" s="49">
        <f t="shared" si="8"/>
        <v>0.1370814364411963</v>
      </c>
      <c r="N38" s="50">
        <f t="shared" si="9"/>
        <v>33358.977018400001</v>
      </c>
      <c r="O38" s="50">
        <f t="shared" si="10"/>
        <v>209992.55098159998</v>
      </c>
      <c r="P38" s="51">
        <f t="shared" si="11"/>
        <v>0.37853156960658163</v>
      </c>
      <c r="Q38" s="52">
        <f t="shared" si="12"/>
        <v>92116.235860000001</v>
      </c>
      <c r="R38" s="52">
        <f t="shared" si="13"/>
        <v>151235.29213999998</v>
      </c>
      <c r="S38" s="46" t="str">
        <f t="shared" si="14"/>
        <v>LUCRO PRESUMIDO</v>
      </c>
      <c r="T38" s="45"/>
      <c r="U38" s="45"/>
      <c r="V38" s="45"/>
      <c r="W38" s="45"/>
      <c r="X38" s="45"/>
      <c r="Y38" s="45"/>
      <c r="Z38" s="45"/>
      <c r="AA38" s="45"/>
      <c r="AB38" s="45"/>
    </row>
    <row r="39" spans="1:28" ht="22.5" customHeight="1" x14ac:dyDescent="0.3">
      <c r="A39" s="46" t="s">
        <v>112</v>
      </c>
      <c r="B39" s="47">
        <v>247229.64</v>
      </c>
      <c r="C39" s="47">
        <v>32745</v>
      </c>
      <c r="D39" s="47">
        <v>0</v>
      </c>
      <c r="E39" s="47">
        <f t="shared" si="0"/>
        <v>0</v>
      </c>
      <c r="F39" s="47">
        <f t="shared" si="1"/>
        <v>2656506.7200000002</v>
      </c>
      <c r="G39" s="47">
        <f t="shared" si="2"/>
        <v>320790</v>
      </c>
      <c r="H39" s="48">
        <f t="shared" si="3"/>
        <v>0.12075632919912206</v>
      </c>
      <c r="I39" s="46" t="str">
        <f t="shared" si="4"/>
        <v>V</v>
      </c>
      <c r="J39" s="53">
        <f t="shared" si="5"/>
        <v>0.2066234357577684</v>
      </c>
      <c r="K39" s="54">
        <f t="shared" si="6"/>
        <v>51083.437637956209</v>
      </c>
      <c r="L39" s="54">
        <f t="shared" si="7"/>
        <v>196146.20236204381</v>
      </c>
      <c r="M39" s="49">
        <f t="shared" si="8"/>
        <v>0.13721035508525595</v>
      </c>
      <c r="N39" s="50">
        <f t="shared" si="9"/>
        <v>33922.466692000002</v>
      </c>
      <c r="O39" s="50">
        <f t="shared" si="10"/>
        <v>213307.17330800003</v>
      </c>
      <c r="P39" s="51">
        <f t="shared" si="11"/>
        <v>0.37937813322059605</v>
      </c>
      <c r="Q39" s="52">
        <f t="shared" si="12"/>
        <v>93793.5193</v>
      </c>
      <c r="R39" s="52">
        <f t="shared" si="13"/>
        <v>153436.12070000003</v>
      </c>
      <c r="S39" s="46" t="str">
        <f t="shared" si="14"/>
        <v>LUCRO PRESUMIDO</v>
      </c>
      <c r="T39" s="45"/>
      <c r="U39" s="45"/>
      <c r="V39" s="45"/>
      <c r="W39" s="45"/>
      <c r="X39" s="45"/>
      <c r="Y39" s="45"/>
      <c r="Z39" s="45"/>
      <c r="AA39" s="45"/>
      <c r="AB39" s="45"/>
    </row>
    <row r="40" spans="1:28" ht="22.5" customHeight="1" x14ac:dyDescent="0.3">
      <c r="A40" s="46" t="s">
        <v>113</v>
      </c>
      <c r="B40" s="47">
        <v>251107.75200000001</v>
      </c>
      <c r="C40" s="47">
        <v>32745</v>
      </c>
      <c r="D40" s="47">
        <v>0</v>
      </c>
      <c r="E40" s="47">
        <f t="shared" si="0"/>
        <v>0</v>
      </c>
      <c r="F40" s="47">
        <f t="shared" si="1"/>
        <v>2713708.872</v>
      </c>
      <c r="G40" s="47">
        <f t="shared" si="2"/>
        <v>328005</v>
      </c>
      <c r="H40" s="48">
        <f t="shared" si="3"/>
        <v>0.12086963468496927</v>
      </c>
      <c r="I40" s="46" t="str">
        <f t="shared" si="4"/>
        <v>V</v>
      </c>
      <c r="J40" s="53">
        <f t="shared" si="5"/>
        <v>0.20711618934486795</v>
      </c>
      <c r="K40" s="54">
        <f t="shared" si="6"/>
        <v>52008.480709196141</v>
      </c>
      <c r="L40" s="54">
        <f t="shared" si="7"/>
        <v>199099.27129080385</v>
      </c>
      <c r="M40" s="49">
        <f t="shared" si="8"/>
        <v>0.13733529168625588</v>
      </c>
      <c r="N40" s="50">
        <f t="shared" si="9"/>
        <v>34485.956365600003</v>
      </c>
      <c r="O40" s="50">
        <f t="shared" si="10"/>
        <v>216621.79563440001</v>
      </c>
      <c r="P40" s="51">
        <f t="shared" si="11"/>
        <v>0.38019854815155207</v>
      </c>
      <c r="Q40" s="52">
        <f t="shared" si="12"/>
        <v>95470.802739999999</v>
      </c>
      <c r="R40" s="52">
        <f t="shared" si="13"/>
        <v>155636.94926000002</v>
      </c>
      <c r="S40" s="46" t="str">
        <f t="shared" si="14"/>
        <v>LUCRO PRESUMIDO</v>
      </c>
      <c r="T40" s="45"/>
      <c r="U40" s="45"/>
      <c r="V40" s="45"/>
      <c r="W40" s="45"/>
      <c r="X40" s="45"/>
      <c r="Y40" s="45"/>
      <c r="Z40" s="45"/>
      <c r="AA40" s="45"/>
      <c r="AB40" s="45"/>
    </row>
    <row r="41" spans="1:28" ht="22.5" customHeight="1" x14ac:dyDescent="0.3">
      <c r="A41" s="46" t="s">
        <v>114</v>
      </c>
      <c r="B41" s="47">
        <v>254985.864</v>
      </c>
      <c r="C41" s="47">
        <v>32745</v>
      </c>
      <c r="D41" s="47">
        <v>0</v>
      </c>
      <c r="E41" s="47">
        <f t="shared" si="0"/>
        <v>0</v>
      </c>
      <c r="F41" s="47">
        <f t="shared" si="1"/>
        <v>2768971.9679999999</v>
      </c>
      <c r="G41" s="47">
        <f t="shared" si="2"/>
        <v>335220</v>
      </c>
      <c r="H41" s="48">
        <f t="shared" si="3"/>
        <v>0.12106298072859364</v>
      </c>
      <c r="I41" s="46" t="str">
        <f t="shared" si="4"/>
        <v>V</v>
      </c>
      <c r="J41" s="53">
        <f t="shared" si="5"/>
        <v>0.20757290405332121</v>
      </c>
      <c r="K41" s="54">
        <f t="shared" si="6"/>
        <v>52928.156283025208</v>
      </c>
      <c r="L41" s="54">
        <f t="shared" si="7"/>
        <v>202057.70771697478</v>
      </c>
      <c r="M41" s="49">
        <f t="shared" si="8"/>
        <v>0.13745642793437363</v>
      </c>
      <c r="N41" s="50">
        <f t="shared" si="9"/>
        <v>35049.446039199996</v>
      </c>
      <c r="O41" s="50">
        <f t="shared" si="10"/>
        <v>219936.4179608</v>
      </c>
      <c r="P41" s="51">
        <f t="shared" si="11"/>
        <v>0.38099400749525475</v>
      </c>
      <c r="Q41" s="52">
        <f t="shared" si="12"/>
        <v>97148.086180000013</v>
      </c>
      <c r="R41" s="52">
        <f t="shared" si="13"/>
        <v>157837.77781999999</v>
      </c>
      <c r="S41" s="46" t="str">
        <f t="shared" si="14"/>
        <v>LUCRO PRESUMIDO</v>
      </c>
      <c r="T41" s="45"/>
      <c r="U41" s="45"/>
      <c r="V41" s="45"/>
      <c r="W41" s="45"/>
      <c r="X41" s="45"/>
      <c r="Y41" s="45"/>
      <c r="Z41" s="45"/>
      <c r="AA41" s="45"/>
      <c r="AB41" s="45"/>
    </row>
    <row r="42" spans="1:28" ht="22.5" customHeight="1" x14ac:dyDescent="0.3">
      <c r="A42" s="46" t="s">
        <v>115</v>
      </c>
      <c r="B42" s="47">
        <v>258863.976</v>
      </c>
      <c r="C42" s="47">
        <v>32745</v>
      </c>
      <c r="D42" s="47">
        <v>0</v>
      </c>
      <c r="E42" s="47">
        <f t="shared" si="0"/>
        <v>0</v>
      </c>
      <c r="F42" s="47">
        <f t="shared" si="1"/>
        <v>2823265.5359999998</v>
      </c>
      <c r="G42" s="47">
        <f t="shared" si="2"/>
        <v>342435</v>
      </c>
      <c r="H42" s="48">
        <f t="shared" si="3"/>
        <v>0.12129039781541824</v>
      </c>
      <c r="I42" s="46" t="str">
        <f t="shared" si="4"/>
        <v>V</v>
      </c>
      <c r="J42" s="53">
        <f t="shared" si="5"/>
        <v>0.20800419435998813</v>
      </c>
      <c r="K42" s="54">
        <f t="shared" si="6"/>
        <v>53844.792776703303</v>
      </c>
      <c r="L42" s="54">
        <f t="shared" si="7"/>
        <v>205019.18322329668</v>
      </c>
      <c r="M42" s="49">
        <f t="shared" si="8"/>
        <v>0.13757393463198603</v>
      </c>
      <c r="N42" s="50">
        <f t="shared" si="9"/>
        <v>35612.935712799997</v>
      </c>
      <c r="O42" s="50">
        <f t="shared" si="10"/>
        <v>223251.04028720001</v>
      </c>
      <c r="P42" s="51">
        <f t="shared" si="11"/>
        <v>0.38176563285113108</v>
      </c>
      <c r="Q42" s="52">
        <f t="shared" si="12"/>
        <v>98825.369619999998</v>
      </c>
      <c r="R42" s="52">
        <f t="shared" si="13"/>
        <v>160038.60638000001</v>
      </c>
      <c r="S42" s="46" t="str">
        <f t="shared" si="14"/>
        <v>LUCRO PRESUMIDO</v>
      </c>
      <c r="T42" s="45"/>
      <c r="U42" s="45"/>
      <c r="V42" s="45"/>
      <c r="W42" s="45"/>
      <c r="X42" s="45"/>
      <c r="Y42" s="45"/>
      <c r="Z42" s="45"/>
      <c r="AA42" s="45"/>
      <c r="AB42" s="45"/>
    </row>
    <row r="43" spans="1:28" ht="22.5" customHeight="1" x14ac:dyDescent="0.3">
      <c r="A43" s="46" t="s">
        <v>116</v>
      </c>
      <c r="B43" s="47">
        <v>262742.08799999999</v>
      </c>
      <c r="C43" s="47">
        <v>32745</v>
      </c>
      <c r="D43" s="47">
        <v>0</v>
      </c>
      <c r="E43" s="47">
        <f t="shared" si="0"/>
        <v>0</v>
      </c>
      <c r="F43" s="47">
        <f t="shared" si="1"/>
        <v>2876589.5759999994</v>
      </c>
      <c r="G43" s="47">
        <f t="shared" si="2"/>
        <v>349650</v>
      </c>
      <c r="H43" s="48">
        <f t="shared" si="3"/>
        <v>0.12155018669232641</v>
      </c>
      <c r="I43" s="46" t="str">
        <f t="shared" si="4"/>
        <v>V</v>
      </c>
      <c r="J43" s="53">
        <f t="shared" si="5"/>
        <v>0.20841193595425864</v>
      </c>
      <c r="K43" s="54">
        <f t="shared" si="6"/>
        <v>54758.587216744185</v>
      </c>
      <c r="L43" s="54">
        <f t="shared" si="7"/>
        <v>207983.50078325579</v>
      </c>
      <c r="M43" s="49">
        <f t="shared" si="8"/>
        <v>0.13768797249719655</v>
      </c>
      <c r="N43" s="50">
        <f t="shared" si="9"/>
        <v>36176.425386399998</v>
      </c>
      <c r="O43" s="50">
        <f t="shared" si="10"/>
        <v>226565.6626136</v>
      </c>
      <c r="P43" s="51">
        <f t="shared" si="11"/>
        <v>0.38251447959871582</v>
      </c>
      <c r="Q43" s="52">
        <f t="shared" si="12"/>
        <v>100502.65306</v>
      </c>
      <c r="R43" s="52">
        <f t="shared" si="13"/>
        <v>162239.43494000001</v>
      </c>
      <c r="S43" s="46" t="str">
        <f t="shared" si="14"/>
        <v>LUCRO PRESUMIDO</v>
      </c>
      <c r="T43" s="45"/>
      <c r="U43" s="45"/>
      <c r="V43" s="45"/>
      <c r="W43" s="45"/>
      <c r="X43" s="45"/>
      <c r="Y43" s="45"/>
      <c r="Z43" s="45"/>
      <c r="AA43" s="45"/>
      <c r="AB43" s="45"/>
    </row>
    <row r="44" spans="1:28" ht="22.5" customHeight="1" x14ac:dyDescent="0.3">
      <c r="A44" s="46" t="s">
        <v>117</v>
      </c>
      <c r="B44" s="47">
        <v>266620.2</v>
      </c>
      <c r="C44" s="47">
        <v>32745</v>
      </c>
      <c r="D44" s="47">
        <v>0</v>
      </c>
      <c r="E44" s="47">
        <f t="shared" si="0"/>
        <v>0</v>
      </c>
      <c r="F44" s="47">
        <f t="shared" si="1"/>
        <v>2928944.088</v>
      </c>
      <c r="G44" s="47">
        <f t="shared" si="2"/>
        <v>356865</v>
      </c>
      <c r="H44" s="48">
        <f t="shared" si="3"/>
        <v>0.12184083727036309</v>
      </c>
      <c r="I44" s="46" t="str">
        <f t="shared" si="4"/>
        <v>V</v>
      </c>
      <c r="J44" s="53">
        <f t="shared" si="5"/>
        <v>0.2087978199193265</v>
      </c>
      <c r="K44" s="54">
        <f t="shared" si="6"/>
        <v>55669.716506454817</v>
      </c>
      <c r="L44" s="54">
        <f t="shared" si="7"/>
        <v>210950.48349354521</v>
      </c>
      <c r="M44" s="49">
        <f t="shared" si="8"/>
        <v>0.13779869289723734</v>
      </c>
      <c r="N44" s="50">
        <f t="shared" si="9"/>
        <v>36739.915059999999</v>
      </c>
      <c r="O44" s="50">
        <f t="shared" si="10"/>
        <v>229880.28494000001</v>
      </c>
      <c r="P44" s="51">
        <f t="shared" si="11"/>
        <v>0.38324154171364355</v>
      </c>
      <c r="Q44" s="52">
        <f t="shared" si="12"/>
        <v>102179.9365</v>
      </c>
      <c r="R44" s="52">
        <f t="shared" si="13"/>
        <v>164440.2635</v>
      </c>
      <c r="S44" s="46" t="str">
        <f t="shared" si="14"/>
        <v>LUCRO PRESUMIDO</v>
      </c>
      <c r="T44" s="45"/>
      <c r="U44" s="45"/>
      <c r="V44" s="45"/>
      <c r="W44" s="45"/>
      <c r="X44" s="45"/>
      <c r="Y44" s="45"/>
      <c r="Z44" s="45"/>
      <c r="AA44" s="45"/>
      <c r="AB44" s="45"/>
    </row>
    <row r="45" spans="1:28" ht="22.5" customHeight="1" x14ac:dyDescent="0.3">
      <c r="A45" s="46" t="s">
        <v>118</v>
      </c>
      <c r="B45" s="47">
        <v>270498.31199999998</v>
      </c>
      <c r="C45" s="47">
        <v>32745</v>
      </c>
      <c r="D45" s="47">
        <v>0</v>
      </c>
      <c r="E45" s="47">
        <f t="shared" si="0"/>
        <v>0</v>
      </c>
      <c r="F45" s="47">
        <f t="shared" si="1"/>
        <v>2980329.0720000002</v>
      </c>
      <c r="G45" s="47">
        <f t="shared" si="2"/>
        <v>364080</v>
      </c>
      <c r="H45" s="48">
        <f t="shared" si="3"/>
        <v>0.12216100678965561</v>
      </c>
      <c r="I45" s="46" t="str">
        <f t="shared" si="4"/>
        <v>V</v>
      </c>
      <c r="J45" s="53">
        <f t="shared" si="5"/>
        <v>0.20916337474830365</v>
      </c>
      <c r="K45" s="54">
        <f t="shared" si="6"/>
        <v>56578.339801639559</v>
      </c>
      <c r="L45" s="54">
        <f t="shared" si="7"/>
        <v>213919.97219836042</v>
      </c>
      <c r="M45" s="49">
        <f t="shared" si="8"/>
        <v>0.13790623851878231</v>
      </c>
      <c r="N45" s="50">
        <f t="shared" si="9"/>
        <v>37303.404733599993</v>
      </c>
      <c r="O45" s="50">
        <f t="shared" si="10"/>
        <v>233194.9072664</v>
      </c>
      <c r="P45" s="51">
        <f t="shared" si="11"/>
        <v>0.38394775616936194</v>
      </c>
      <c r="Q45" s="52">
        <f t="shared" si="12"/>
        <v>103857.21993999998</v>
      </c>
      <c r="R45" s="52">
        <f t="shared" si="13"/>
        <v>166641.09206</v>
      </c>
      <c r="S45" s="46" t="str">
        <f t="shared" si="14"/>
        <v>LUCRO PRESUMIDO</v>
      </c>
      <c r="T45" s="45"/>
      <c r="U45" s="45"/>
      <c r="V45" s="45"/>
      <c r="W45" s="45"/>
      <c r="X45" s="45"/>
      <c r="Y45" s="45"/>
      <c r="Z45" s="45"/>
      <c r="AA45" s="45"/>
      <c r="AB45" s="45"/>
    </row>
    <row r="46" spans="1:28" ht="22.5" customHeight="1" x14ac:dyDescent="0.3">
      <c r="A46" s="46" t="s">
        <v>119</v>
      </c>
      <c r="B46" s="47">
        <v>274376.424</v>
      </c>
      <c r="C46" s="47">
        <v>32745</v>
      </c>
      <c r="D46" s="47">
        <v>0</v>
      </c>
      <c r="E46" s="47">
        <f t="shared" si="0"/>
        <v>0</v>
      </c>
      <c r="F46" s="47">
        <f t="shared" si="1"/>
        <v>3030744.5280000004</v>
      </c>
      <c r="G46" s="47">
        <f t="shared" si="2"/>
        <v>371295</v>
      </c>
      <c r="H46" s="48">
        <f t="shared" si="3"/>
        <v>0.12250950107134861</v>
      </c>
      <c r="I46" s="46" t="str">
        <f t="shared" si="4"/>
        <v>V</v>
      </c>
      <c r="J46" s="53">
        <f t="shared" si="5"/>
        <v>0.20950998527712264</v>
      </c>
      <c r="K46" s="54">
        <f t="shared" si="6"/>
        <v>57484.600552629556</v>
      </c>
      <c r="L46" s="54">
        <f t="shared" si="7"/>
        <v>216891.82344737044</v>
      </c>
      <c r="M46" s="49">
        <f t="shared" si="8"/>
        <v>0.13801074398141439</v>
      </c>
      <c r="N46" s="50">
        <f t="shared" si="9"/>
        <v>37866.894407200001</v>
      </c>
      <c r="O46" s="50">
        <f t="shared" si="10"/>
        <v>236509.52959280001</v>
      </c>
      <c r="P46" s="51">
        <f t="shared" si="11"/>
        <v>0.38463400696555478</v>
      </c>
      <c r="Q46" s="52">
        <f t="shared" si="12"/>
        <v>105534.50338000001</v>
      </c>
      <c r="R46" s="52">
        <f t="shared" si="13"/>
        <v>168841.92061999999</v>
      </c>
      <c r="S46" s="46" t="str">
        <f t="shared" si="14"/>
        <v>LUCRO PRESUMIDO</v>
      </c>
      <c r="T46" s="45"/>
      <c r="U46" s="45"/>
      <c r="V46" s="45"/>
      <c r="W46" s="45"/>
      <c r="X46" s="45"/>
      <c r="Y46" s="45"/>
      <c r="Z46" s="45"/>
      <c r="AA46" s="45"/>
      <c r="AB46" s="45"/>
    </row>
    <row r="47" spans="1:28" ht="22.5" customHeight="1" x14ac:dyDescent="0.3">
      <c r="A47" s="46" t="s">
        <v>120</v>
      </c>
      <c r="B47" s="47">
        <v>278254.53600000002</v>
      </c>
      <c r="C47" s="47">
        <v>32745</v>
      </c>
      <c r="D47" s="47">
        <v>0</v>
      </c>
      <c r="E47" s="47">
        <f t="shared" si="0"/>
        <v>0</v>
      </c>
      <c r="F47" s="47">
        <f t="shared" si="1"/>
        <v>3080190.4560000002</v>
      </c>
      <c r="G47" s="47">
        <f t="shared" si="2"/>
        <v>378510</v>
      </c>
      <c r="H47" s="48">
        <f t="shared" si="3"/>
        <v>0.1228852583653353</v>
      </c>
      <c r="I47" s="46" t="str">
        <f t="shared" si="4"/>
        <v>V</v>
      </c>
      <c r="J47" s="53">
        <f t="shared" si="5"/>
        <v>0.2098389090262151</v>
      </c>
      <c r="K47" s="54">
        <f t="shared" si="6"/>
        <v>58388.628265835701</v>
      </c>
      <c r="L47" s="54">
        <f t="shared" si="7"/>
        <v>219865.90773416433</v>
      </c>
      <c r="M47" s="49">
        <f t="shared" si="8"/>
        <v>0.13811233639979187</v>
      </c>
      <c r="N47" s="50">
        <f t="shared" si="9"/>
        <v>38430.384080800002</v>
      </c>
      <c r="O47" s="50">
        <f t="shared" si="10"/>
        <v>239824.15191920003</v>
      </c>
      <c r="P47" s="51">
        <f t="shared" si="11"/>
        <v>0.38530112881969336</v>
      </c>
      <c r="Q47" s="52">
        <f t="shared" si="12"/>
        <v>107211.78682000001</v>
      </c>
      <c r="R47" s="52">
        <f t="shared" si="13"/>
        <v>171042.74918000001</v>
      </c>
      <c r="S47" s="46" t="str">
        <f t="shared" si="14"/>
        <v>LUCRO PRESUMIDO</v>
      </c>
      <c r="T47" s="45"/>
      <c r="U47" s="45"/>
      <c r="V47" s="45"/>
      <c r="W47" s="45"/>
      <c r="X47" s="45"/>
      <c r="Y47" s="45"/>
      <c r="Z47" s="45"/>
      <c r="AA47" s="45"/>
      <c r="AB47" s="45"/>
    </row>
    <row r="48" spans="1:28" ht="22.5" customHeight="1" x14ac:dyDescent="0.3">
      <c r="A48" s="46" t="s">
        <v>121</v>
      </c>
      <c r="B48" s="47">
        <v>282132.64799999999</v>
      </c>
      <c r="C48" s="47">
        <v>32745</v>
      </c>
      <c r="D48" s="47">
        <v>0</v>
      </c>
      <c r="E48" s="47">
        <f t="shared" si="0"/>
        <v>0</v>
      </c>
      <c r="F48" s="47">
        <f t="shared" si="1"/>
        <v>3128666.8560000001</v>
      </c>
      <c r="G48" s="47">
        <f t="shared" si="2"/>
        <v>385725</v>
      </c>
      <c r="H48" s="48">
        <f t="shared" si="3"/>
        <v>0.12328733539024009</v>
      </c>
      <c r="I48" s="46" t="str">
        <f t="shared" si="4"/>
        <v>V</v>
      </c>
      <c r="J48" s="53">
        <f t="shared" si="5"/>
        <v>0.21015129035521707</v>
      </c>
      <c r="K48" s="54">
        <f t="shared" si="6"/>
        <v>59290.540028534248</v>
      </c>
      <c r="L48" s="54">
        <f t="shared" si="7"/>
        <v>222842.10797146574</v>
      </c>
      <c r="M48" s="49">
        <f t="shared" si="8"/>
        <v>0.13821113589945108</v>
      </c>
      <c r="N48" s="50">
        <f t="shared" si="9"/>
        <v>38993.873754399996</v>
      </c>
      <c r="O48" s="50">
        <f t="shared" si="10"/>
        <v>243138.77424559998</v>
      </c>
      <c r="P48" s="51">
        <f t="shared" si="11"/>
        <v>0.38594991055413053</v>
      </c>
      <c r="Q48" s="52">
        <f t="shared" si="12"/>
        <v>108889.07025999999</v>
      </c>
      <c r="R48" s="52">
        <f t="shared" si="13"/>
        <v>173243.57773999998</v>
      </c>
      <c r="S48" s="46" t="str">
        <f t="shared" si="14"/>
        <v>LUCRO PRESUMIDO</v>
      </c>
      <c r="T48" s="45"/>
      <c r="U48" s="45"/>
      <c r="V48" s="45"/>
      <c r="W48" s="45"/>
      <c r="X48" s="45"/>
      <c r="Y48" s="45"/>
      <c r="Z48" s="45"/>
      <c r="AA48" s="45"/>
      <c r="AB48" s="45"/>
    </row>
    <row r="49" spans="1:28" ht="22.5" customHeight="1" x14ac:dyDescent="0.3">
      <c r="A49" s="46" t="s">
        <v>122</v>
      </c>
      <c r="B49" s="47">
        <v>286010.76</v>
      </c>
      <c r="C49" s="47">
        <v>32745</v>
      </c>
      <c r="D49" s="47">
        <v>0</v>
      </c>
      <c r="E49" s="47">
        <f t="shared" si="0"/>
        <v>0</v>
      </c>
      <c r="F49" s="47">
        <f t="shared" si="1"/>
        <v>3176173.7280000001</v>
      </c>
      <c r="G49" s="47">
        <f t="shared" si="2"/>
        <v>392940</v>
      </c>
      <c r="H49" s="48">
        <f t="shared" si="3"/>
        <v>0.12371489523258218</v>
      </c>
      <c r="I49" s="46" t="str">
        <f t="shared" si="4"/>
        <v>V</v>
      </c>
      <c r="J49" s="53">
        <f t="shared" si="5"/>
        <v>0.21044817276443387</v>
      </c>
      <c r="K49" s="54">
        <f t="shared" si="6"/>
        <v>60190.44183296703</v>
      </c>
      <c r="L49" s="54">
        <f t="shared" si="7"/>
        <v>225820.31816703296</v>
      </c>
      <c r="M49" s="49">
        <f t="shared" si="8"/>
        <v>0.13830725609064495</v>
      </c>
      <c r="N49" s="50">
        <f t="shared" si="9"/>
        <v>39557.363427999997</v>
      </c>
      <c r="O49" s="50">
        <f t="shared" si="10"/>
        <v>246453.396572</v>
      </c>
      <c r="P49" s="51">
        <f t="shared" si="11"/>
        <v>0.38658109820763387</v>
      </c>
      <c r="Q49" s="52">
        <f t="shared" si="12"/>
        <v>110566.35370000001</v>
      </c>
      <c r="R49" s="52">
        <f t="shared" si="13"/>
        <v>175444.4063</v>
      </c>
      <c r="S49" s="46" t="str">
        <f t="shared" si="14"/>
        <v>LUCRO PRESUMIDO</v>
      </c>
      <c r="T49" s="45"/>
      <c r="U49" s="45"/>
      <c r="V49" s="45"/>
      <c r="W49" s="45"/>
      <c r="X49" s="45"/>
      <c r="Y49" s="45"/>
      <c r="Z49" s="45"/>
      <c r="AA49" s="45"/>
      <c r="AB49" s="45"/>
    </row>
    <row r="50" spans="1:28" ht="22.5" customHeight="1" x14ac:dyDescent="0.3">
      <c r="A50" s="46" t="s">
        <v>123</v>
      </c>
      <c r="B50" s="47">
        <v>289888.87199999997</v>
      </c>
      <c r="C50" s="47">
        <v>39960</v>
      </c>
      <c r="D50" s="47">
        <v>0</v>
      </c>
      <c r="E50" s="47">
        <f t="shared" si="0"/>
        <v>0</v>
      </c>
      <c r="F50" s="47">
        <f t="shared" si="1"/>
        <v>3222711.0720000002</v>
      </c>
      <c r="G50" s="47">
        <f t="shared" si="2"/>
        <v>400155</v>
      </c>
      <c r="H50" s="48">
        <f t="shared" si="3"/>
        <v>0.1241671968289933</v>
      </c>
      <c r="I50" s="46" t="str">
        <f t="shared" si="4"/>
        <v>V</v>
      </c>
      <c r="J50" s="53">
        <f t="shared" si="5"/>
        <v>0.21073050961982112</v>
      </c>
      <c r="K50" s="54">
        <f t="shared" si="6"/>
        <v>61088.429729675088</v>
      </c>
      <c r="L50" s="54">
        <f t="shared" si="7"/>
        <v>228800.44227032489</v>
      </c>
      <c r="M50" s="49">
        <f t="shared" si="8"/>
        <v>0.13840080450414807</v>
      </c>
      <c r="N50" s="50">
        <f t="shared" si="9"/>
        <v>40120.853101599998</v>
      </c>
      <c r="O50" s="50">
        <f t="shared" si="10"/>
        <v>249768.01889839998</v>
      </c>
      <c r="P50" s="51">
        <f t="shared" si="11"/>
        <v>0.3787331896617267</v>
      </c>
      <c r="Q50" s="52">
        <f t="shared" si="12"/>
        <v>109790.53714</v>
      </c>
      <c r="R50" s="52">
        <f t="shared" si="13"/>
        <v>180098.33485999997</v>
      </c>
      <c r="S50" s="46" t="str">
        <f t="shared" si="14"/>
        <v>LUCRO PRESUMIDO</v>
      </c>
      <c r="T50" s="45"/>
      <c r="U50" s="45"/>
      <c r="V50" s="45"/>
      <c r="W50" s="45"/>
      <c r="X50" s="45"/>
      <c r="Y50" s="45"/>
      <c r="Z50" s="45"/>
      <c r="AA50" s="45"/>
      <c r="AB50" s="45"/>
    </row>
    <row r="51" spans="1:28" ht="22.5" customHeight="1" x14ac:dyDescent="0.3">
      <c r="A51" s="46" t="s">
        <v>124</v>
      </c>
      <c r="B51" s="47">
        <v>293766.984</v>
      </c>
      <c r="C51" s="47">
        <v>39960</v>
      </c>
      <c r="D51" s="47">
        <v>0</v>
      </c>
      <c r="E51" s="47">
        <f t="shared" si="0"/>
        <v>0</v>
      </c>
      <c r="F51" s="47">
        <f t="shared" si="1"/>
        <v>3269248.4159999997</v>
      </c>
      <c r="G51" s="47">
        <f t="shared" si="2"/>
        <v>407370</v>
      </c>
      <c r="H51" s="48">
        <f t="shared" si="3"/>
        <v>0.12460662151162759</v>
      </c>
      <c r="I51" s="46" t="str">
        <f t="shared" si="4"/>
        <v>V</v>
      </c>
      <c r="J51" s="53">
        <f t="shared" si="5"/>
        <v>0.2110048084152685</v>
      </c>
      <c r="K51" s="54">
        <f t="shared" si="6"/>
        <v>61986.24617765125</v>
      </c>
      <c r="L51" s="54">
        <f t="shared" si="7"/>
        <v>231780.73782234875</v>
      </c>
      <c r="M51" s="49">
        <f t="shared" si="8"/>
        <v>0.13849188299254214</v>
      </c>
      <c r="N51" s="50">
        <f t="shared" si="9"/>
        <v>40684.342775199999</v>
      </c>
      <c r="O51" s="50">
        <f t="shared" si="10"/>
        <v>253082.6412248</v>
      </c>
      <c r="P51" s="51">
        <f t="shared" si="11"/>
        <v>0.37944298253747943</v>
      </c>
      <c r="Q51" s="52">
        <f t="shared" si="12"/>
        <v>111467.82058</v>
      </c>
      <c r="R51" s="52">
        <f t="shared" si="13"/>
        <v>182299.16342</v>
      </c>
      <c r="S51" s="46" t="str">
        <f t="shared" si="14"/>
        <v>LUCRO PRESUMIDO</v>
      </c>
      <c r="T51" s="45"/>
      <c r="U51" s="45"/>
      <c r="V51" s="45"/>
      <c r="W51" s="45"/>
      <c r="X51" s="45"/>
      <c r="Y51" s="45"/>
      <c r="Z51" s="45"/>
      <c r="AA51" s="45"/>
      <c r="AB51" s="45"/>
    </row>
    <row r="52" spans="1:28" ht="22.5" customHeight="1" x14ac:dyDescent="0.3">
      <c r="A52" s="46" t="s">
        <v>125</v>
      </c>
      <c r="B52" s="47">
        <v>296675.56800000003</v>
      </c>
      <c r="C52" s="47">
        <v>39960</v>
      </c>
      <c r="D52" s="47">
        <v>0</v>
      </c>
      <c r="E52" s="47">
        <f t="shared" si="0"/>
        <v>0</v>
      </c>
      <c r="F52" s="47">
        <f t="shared" si="1"/>
        <v>3314816.2320000003</v>
      </c>
      <c r="G52" s="47">
        <f t="shared" si="2"/>
        <v>414585</v>
      </c>
      <c r="H52" s="48">
        <f t="shared" si="3"/>
        <v>0.12507028172414233</v>
      </c>
      <c r="I52" s="46" t="str">
        <f t="shared" si="4"/>
        <v>V</v>
      </c>
      <c r="J52" s="53">
        <f t="shared" si="5"/>
        <v>0.21126592979710013</v>
      </c>
      <c r="K52" s="54">
        <f t="shared" si="6"/>
        <v>62677.439721602808</v>
      </c>
      <c r="L52" s="54">
        <f t="shared" si="7"/>
        <v>233998.12827839723</v>
      </c>
      <c r="M52" s="49">
        <f t="shared" si="8"/>
        <v>0.13855862923771331</v>
      </c>
      <c r="N52" s="50">
        <f t="shared" si="9"/>
        <v>41106.960030400005</v>
      </c>
      <c r="O52" s="50">
        <f t="shared" si="10"/>
        <v>255568.60796960001</v>
      </c>
      <c r="P52" s="51">
        <f t="shared" si="11"/>
        <v>0.37996314937534731</v>
      </c>
      <c r="Q52" s="52">
        <f t="shared" si="12"/>
        <v>112725.78316000002</v>
      </c>
      <c r="R52" s="52">
        <f t="shared" si="13"/>
        <v>183949.78484000001</v>
      </c>
      <c r="S52" s="46" t="str">
        <f t="shared" si="14"/>
        <v>LUCRO PRESUMIDO</v>
      </c>
      <c r="T52" s="45"/>
      <c r="U52" s="45"/>
      <c r="V52" s="45"/>
      <c r="W52" s="45"/>
      <c r="X52" s="45"/>
      <c r="Y52" s="45"/>
      <c r="Z52" s="45"/>
      <c r="AA52" s="45"/>
      <c r="AB52" s="45"/>
    </row>
    <row r="53" spans="1:28" ht="22.5" customHeight="1" x14ac:dyDescent="0.3">
      <c r="A53" s="46" t="s">
        <v>126</v>
      </c>
      <c r="B53" s="47">
        <v>299584.152</v>
      </c>
      <c r="C53" s="47">
        <v>39960</v>
      </c>
      <c r="D53" s="47">
        <v>0</v>
      </c>
      <c r="E53" s="47">
        <f t="shared" si="0"/>
        <v>0</v>
      </c>
      <c r="F53" s="47">
        <f t="shared" si="1"/>
        <v>3359414.5200000005</v>
      </c>
      <c r="G53" s="47">
        <f t="shared" si="2"/>
        <v>421800</v>
      </c>
      <c r="H53" s="48">
        <f t="shared" si="3"/>
        <v>0.12555759269624159</v>
      </c>
      <c r="I53" s="46" t="str">
        <f t="shared" si="4"/>
        <v>V</v>
      </c>
      <c r="J53" s="53">
        <f t="shared" si="5"/>
        <v>0.21151463606819204</v>
      </c>
      <c r="K53" s="54">
        <f t="shared" si="6"/>
        <v>63366.432882077926</v>
      </c>
      <c r="L53" s="54">
        <f t="shared" si="7"/>
        <v>236217.71911792207</v>
      </c>
      <c r="M53" s="49">
        <f t="shared" si="8"/>
        <v>0.13862407943928889</v>
      </c>
      <c r="N53" s="50">
        <f t="shared" si="9"/>
        <v>41529.577285599997</v>
      </c>
      <c r="O53" s="50">
        <f t="shared" si="10"/>
        <v>258054.57471439999</v>
      </c>
      <c r="P53" s="51">
        <f t="shared" si="11"/>
        <v>0.38047321588626626</v>
      </c>
      <c r="Q53" s="52">
        <f t="shared" si="12"/>
        <v>113983.74574000001</v>
      </c>
      <c r="R53" s="52">
        <f t="shared" si="13"/>
        <v>185600.40625999999</v>
      </c>
      <c r="S53" s="46" t="str">
        <f t="shared" si="14"/>
        <v>LUCRO PRESUMIDO</v>
      </c>
      <c r="T53" s="45"/>
      <c r="U53" s="45"/>
      <c r="V53" s="45"/>
      <c r="W53" s="45"/>
      <c r="X53" s="45"/>
      <c r="Y53" s="45"/>
      <c r="Z53" s="45"/>
      <c r="AA53" s="45"/>
      <c r="AB53" s="45"/>
    </row>
    <row r="54" spans="1:28" ht="22.5" customHeight="1" x14ac:dyDescent="0.3">
      <c r="A54" s="46" t="s">
        <v>127</v>
      </c>
      <c r="B54" s="47">
        <v>302492.73599999998</v>
      </c>
      <c r="C54" s="47">
        <v>39960</v>
      </c>
      <c r="D54" s="47">
        <v>0</v>
      </c>
      <c r="E54" s="47">
        <f t="shared" si="0"/>
        <v>0</v>
      </c>
      <c r="F54" s="47">
        <f t="shared" si="1"/>
        <v>3403043.28</v>
      </c>
      <c r="G54" s="47">
        <f t="shared" si="2"/>
        <v>429015</v>
      </c>
      <c r="H54" s="48">
        <f t="shared" si="3"/>
        <v>0.12606804107410588</v>
      </c>
      <c r="I54" s="46" t="str">
        <f t="shared" si="4"/>
        <v>V</v>
      </c>
      <c r="J54" s="53">
        <f t="shared" si="5"/>
        <v>0.2117516279134716</v>
      </c>
      <c r="K54" s="54">
        <f t="shared" si="6"/>
        <v>64053.329279999991</v>
      </c>
      <c r="L54" s="54">
        <f t="shared" si="7"/>
        <v>238439.40671999997</v>
      </c>
      <c r="M54" s="49">
        <f t="shared" si="8"/>
        <v>0.13868827098314188</v>
      </c>
      <c r="N54" s="50">
        <f t="shared" si="9"/>
        <v>41952.194540799996</v>
      </c>
      <c r="O54" s="50">
        <f t="shared" si="10"/>
        <v>260540.54145919997</v>
      </c>
      <c r="P54" s="51">
        <f t="shared" si="11"/>
        <v>0.38097347342582139</v>
      </c>
      <c r="Q54" s="52">
        <f t="shared" si="12"/>
        <v>115241.70831999999</v>
      </c>
      <c r="R54" s="52">
        <f t="shared" si="13"/>
        <v>187251.02768</v>
      </c>
      <c r="S54" s="46" t="str">
        <f t="shared" si="14"/>
        <v>LUCRO PRESUMIDO</v>
      </c>
      <c r="T54" s="45"/>
      <c r="U54" s="45"/>
      <c r="V54" s="45"/>
      <c r="W54" s="45"/>
      <c r="X54" s="45"/>
      <c r="Y54" s="45"/>
      <c r="Z54" s="45"/>
      <c r="AA54" s="45"/>
      <c r="AB54" s="45"/>
    </row>
    <row r="55" spans="1:28" ht="22.5" customHeight="1" x14ac:dyDescent="0.3">
      <c r="A55" s="46" t="s">
        <v>128</v>
      </c>
      <c r="B55" s="47">
        <v>305401.32</v>
      </c>
      <c r="C55" s="47">
        <v>39960</v>
      </c>
      <c r="D55" s="47">
        <v>0</v>
      </c>
      <c r="E55" s="47">
        <f t="shared" si="0"/>
        <v>0</v>
      </c>
      <c r="F55" s="47">
        <f t="shared" si="1"/>
        <v>3445702.5120000001</v>
      </c>
      <c r="G55" s="47">
        <f t="shared" si="2"/>
        <v>436230</v>
      </c>
      <c r="H55" s="48">
        <f t="shared" si="3"/>
        <v>0.12660117885417729</v>
      </c>
      <c r="I55" s="46" t="str">
        <f t="shared" si="4"/>
        <v>V</v>
      </c>
      <c r="J55" s="53">
        <f t="shared" si="5"/>
        <v>0.21197755035911237</v>
      </c>
      <c r="K55" s="54">
        <f t="shared" si="6"/>
        <v>64738.223690039391</v>
      </c>
      <c r="L55" s="54">
        <f t="shared" si="7"/>
        <v>240663.09630996062</v>
      </c>
      <c r="M55" s="49">
        <f t="shared" si="8"/>
        <v>0.13875123983092152</v>
      </c>
      <c r="N55" s="50">
        <f t="shared" si="9"/>
        <v>42374.811796000009</v>
      </c>
      <c r="O55" s="50">
        <f t="shared" si="10"/>
        <v>263026.50820400001</v>
      </c>
      <c r="P55" s="51">
        <f t="shared" si="11"/>
        <v>0.38146420225033734</v>
      </c>
      <c r="Q55" s="52">
        <f t="shared" si="12"/>
        <v>116499.6709</v>
      </c>
      <c r="R55" s="52">
        <f t="shared" si="13"/>
        <v>188901.64910000001</v>
      </c>
      <c r="S55" s="46" t="str">
        <f t="shared" si="14"/>
        <v>LUCRO PRESUMIDO</v>
      </c>
      <c r="T55" s="45"/>
      <c r="U55" s="45"/>
      <c r="V55" s="45"/>
      <c r="W55" s="45"/>
      <c r="X55" s="45"/>
      <c r="Y55" s="45"/>
      <c r="Z55" s="45"/>
      <c r="AA55" s="45"/>
      <c r="AB55" s="45"/>
    </row>
    <row r="56" spans="1:28" ht="22.5" customHeight="1" x14ac:dyDescent="0.3">
      <c r="A56" s="46" t="s">
        <v>129</v>
      </c>
      <c r="B56" s="47">
        <v>308309.90399999998</v>
      </c>
      <c r="C56" s="47">
        <v>39960</v>
      </c>
      <c r="D56" s="47">
        <v>0</v>
      </c>
      <c r="E56" s="47">
        <f t="shared" si="0"/>
        <v>0</v>
      </c>
      <c r="F56" s="47">
        <f t="shared" si="1"/>
        <v>3487392.216</v>
      </c>
      <c r="G56" s="47">
        <f t="shared" si="2"/>
        <v>443445</v>
      </c>
      <c r="H56" s="48">
        <f t="shared" si="3"/>
        <v>0.1271566180498695</v>
      </c>
      <c r="I56" s="46" t="str">
        <f t="shared" si="4"/>
        <v>V</v>
      </c>
      <c r="J56" s="53">
        <f t="shared" si="5"/>
        <v>0.21219299804734096</v>
      </c>
      <c r="K56" s="54">
        <f t="shared" si="6"/>
        <v>65421.202857447875</v>
      </c>
      <c r="L56" s="54">
        <f t="shared" si="7"/>
        <v>242888.70114255211</v>
      </c>
      <c r="M56" s="49">
        <f t="shared" si="8"/>
        <v>0.13881302058723358</v>
      </c>
      <c r="N56" s="50">
        <f t="shared" si="9"/>
        <v>42797.429051200001</v>
      </c>
      <c r="O56" s="50">
        <f t="shared" si="10"/>
        <v>265512.47494879999</v>
      </c>
      <c r="P56" s="51">
        <f t="shared" si="11"/>
        <v>0.38194567204042851</v>
      </c>
      <c r="Q56" s="52">
        <f t="shared" si="12"/>
        <v>117757.63347999999</v>
      </c>
      <c r="R56" s="52">
        <f t="shared" si="13"/>
        <v>190552.27051999999</v>
      </c>
      <c r="S56" s="46" t="str">
        <f t="shared" si="14"/>
        <v>LUCRO PRESUMIDO</v>
      </c>
      <c r="T56" s="45"/>
      <c r="U56" s="45"/>
      <c r="V56" s="45"/>
      <c r="W56" s="45"/>
      <c r="X56" s="45"/>
      <c r="Y56" s="45"/>
      <c r="Z56" s="45"/>
      <c r="AA56" s="45"/>
      <c r="AB56" s="45"/>
    </row>
    <row r="57" spans="1:28" ht="22.5" customHeight="1" x14ac:dyDescent="0.3">
      <c r="A57" s="46" t="s">
        <v>130</v>
      </c>
      <c r="B57" s="47">
        <v>311218.48800000001</v>
      </c>
      <c r="C57" s="47">
        <v>39960</v>
      </c>
      <c r="D57" s="47">
        <v>0</v>
      </c>
      <c r="E57" s="47">
        <f t="shared" si="0"/>
        <v>0</v>
      </c>
      <c r="F57" s="47">
        <f t="shared" si="1"/>
        <v>3528112.392</v>
      </c>
      <c r="G57" s="47">
        <f t="shared" si="2"/>
        <v>450660</v>
      </c>
      <c r="H57" s="48">
        <f t="shared" si="3"/>
        <v>0.12773402599698133</v>
      </c>
      <c r="I57" s="46" t="str">
        <f t="shared" si="4"/>
        <v>V</v>
      </c>
      <c r="J57" s="53">
        <f t="shared" si="5"/>
        <v>0.21239851991653899</v>
      </c>
      <c r="K57" s="54">
        <f t="shared" si="6"/>
        <v>66102.346221863147</v>
      </c>
      <c r="L57" s="54">
        <f t="shared" si="7"/>
        <v>245116.14177813687</v>
      </c>
      <c r="M57" s="49">
        <f t="shared" si="8"/>
        <v>0.13887364656305382</v>
      </c>
      <c r="N57" s="50">
        <f t="shared" si="9"/>
        <v>43220.046306400007</v>
      </c>
      <c r="O57" s="50">
        <f t="shared" si="10"/>
        <v>267998.44169360003</v>
      </c>
      <c r="P57" s="51">
        <f t="shared" si="11"/>
        <v>0.38241814239519084</v>
      </c>
      <c r="Q57" s="52">
        <f t="shared" si="12"/>
        <v>119015.59606</v>
      </c>
      <c r="R57" s="52">
        <f t="shared" si="13"/>
        <v>192202.89194</v>
      </c>
      <c r="S57" s="46" t="str">
        <f t="shared" si="14"/>
        <v>LUCRO PRESUMIDO</v>
      </c>
      <c r="T57" s="45"/>
      <c r="U57" s="45"/>
      <c r="V57" s="45"/>
      <c r="W57" s="45"/>
      <c r="X57" s="45"/>
      <c r="Y57" s="45"/>
      <c r="Z57" s="45"/>
      <c r="AA57" s="45"/>
      <c r="AB57" s="45"/>
    </row>
    <row r="58" spans="1:28" ht="22.5" customHeight="1" x14ac:dyDescent="0.3">
      <c r="A58" s="46" t="s">
        <v>131</v>
      </c>
      <c r="B58" s="47">
        <v>314127.07199999999</v>
      </c>
      <c r="C58" s="47">
        <v>39960</v>
      </c>
      <c r="D58" s="47">
        <v>0</v>
      </c>
      <c r="E58" s="47">
        <f t="shared" si="0"/>
        <v>0</v>
      </c>
      <c r="F58" s="47">
        <f t="shared" si="1"/>
        <v>3567863.04</v>
      </c>
      <c r="G58" s="47">
        <f t="shared" si="2"/>
        <v>457875</v>
      </c>
      <c r="H58" s="48">
        <f t="shared" si="3"/>
        <v>0.12833312121756782</v>
      </c>
      <c r="I58" s="46" t="str">
        <f t="shared" si="4"/>
        <v>V</v>
      </c>
      <c r="J58" s="53">
        <f t="shared" si="5"/>
        <v>0.21259462336312104</v>
      </c>
      <c r="K58" s="54">
        <f t="shared" si="6"/>
        <v>66781.72656000001</v>
      </c>
      <c r="L58" s="54">
        <f t="shared" si="7"/>
        <v>247345.34543999998</v>
      </c>
      <c r="M58" s="49">
        <f t="shared" si="8"/>
        <v>0.13893314983561811</v>
      </c>
      <c r="N58" s="50">
        <f t="shared" si="9"/>
        <v>43642.663561599999</v>
      </c>
      <c r="O58" s="50">
        <f t="shared" si="10"/>
        <v>270484.40843840002</v>
      </c>
      <c r="P58" s="51">
        <f t="shared" si="11"/>
        <v>0.38288186329893908</v>
      </c>
      <c r="Q58" s="52">
        <f t="shared" si="12"/>
        <v>120273.55863999999</v>
      </c>
      <c r="R58" s="52">
        <f t="shared" si="13"/>
        <v>193853.51335999998</v>
      </c>
      <c r="S58" s="46" t="str">
        <f t="shared" si="14"/>
        <v>LUCRO PRESUMIDO</v>
      </c>
      <c r="T58" s="45"/>
      <c r="U58" s="45"/>
      <c r="V58" s="45"/>
      <c r="W58" s="45"/>
      <c r="X58" s="45"/>
      <c r="Y58" s="45"/>
      <c r="Z58" s="45"/>
      <c r="AA58" s="45"/>
      <c r="AB58" s="45"/>
    </row>
    <row r="59" spans="1:28" ht="22.5" customHeight="1" x14ac:dyDescent="0.3">
      <c r="A59" s="46" t="s">
        <v>132</v>
      </c>
      <c r="B59" s="47">
        <v>317035.65600000002</v>
      </c>
      <c r="C59" s="47">
        <v>39960</v>
      </c>
      <c r="D59" s="47">
        <v>0</v>
      </c>
      <c r="E59" s="47">
        <f t="shared" si="0"/>
        <v>0</v>
      </c>
      <c r="F59" s="47">
        <f t="shared" si="1"/>
        <v>3606644.16</v>
      </c>
      <c r="G59" s="47">
        <f t="shared" si="2"/>
        <v>465090</v>
      </c>
      <c r="H59" s="48">
        <f t="shared" si="3"/>
        <v>0.12895366977373227</v>
      </c>
      <c r="I59" s="46" t="str">
        <f t="shared" si="4"/>
        <v>V</v>
      </c>
      <c r="J59" s="53">
        <f t="shared" si="5"/>
        <v>0.15527633000534211</v>
      </c>
      <c r="K59" s="54">
        <f t="shared" si="6"/>
        <v>49228.13314451612</v>
      </c>
      <c r="L59" s="54">
        <f t="shared" si="7"/>
        <v>267807.52285548393</v>
      </c>
      <c r="M59" s="49">
        <f t="shared" si="8"/>
        <v>0.13899156130501611</v>
      </c>
      <c r="N59" s="50">
        <f t="shared" si="9"/>
        <v>44065.280816800005</v>
      </c>
      <c r="O59" s="50">
        <f t="shared" si="10"/>
        <v>272970.3751832</v>
      </c>
      <c r="P59" s="51">
        <f t="shared" si="11"/>
        <v>0.38333707556225161</v>
      </c>
      <c r="Q59" s="52">
        <f t="shared" si="12"/>
        <v>121531.52122000001</v>
      </c>
      <c r="R59" s="52">
        <f t="shared" si="13"/>
        <v>195504.13478000002</v>
      </c>
      <c r="S59" s="46" t="str">
        <f t="shared" si="14"/>
        <v>LUCRO PRESUMIDO</v>
      </c>
      <c r="T59" s="45"/>
      <c r="U59" s="45"/>
      <c r="V59" s="45"/>
      <c r="W59" s="45"/>
      <c r="X59" s="45"/>
      <c r="Y59" s="45"/>
      <c r="Z59" s="45"/>
      <c r="AA59" s="45"/>
      <c r="AB59" s="45"/>
    </row>
    <row r="60" spans="1:28" ht="22.5" customHeight="1" x14ac:dyDescent="0.3">
      <c r="A60" s="46" t="s">
        <v>133</v>
      </c>
      <c r="B60" s="47">
        <v>319944.24</v>
      </c>
      <c r="C60" s="47">
        <v>39960</v>
      </c>
      <c r="D60" s="47">
        <v>0</v>
      </c>
      <c r="E60" s="47">
        <f t="shared" si="0"/>
        <v>0</v>
      </c>
      <c r="F60" s="47">
        <f t="shared" si="1"/>
        <v>3644455.7520000003</v>
      </c>
      <c r="G60" s="47">
        <f t="shared" si="2"/>
        <v>472305</v>
      </c>
      <c r="H60" s="48">
        <f t="shared" si="3"/>
        <v>0.12959548205265189</v>
      </c>
      <c r="I60" s="46" t="str">
        <f t="shared" si="4"/>
        <v>V</v>
      </c>
      <c r="J60" s="53">
        <f t="shared" si="5"/>
        <v>0.15682972801805609</v>
      </c>
      <c r="K60" s="54">
        <f t="shared" si="6"/>
        <v>50176.768140143657</v>
      </c>
      <c r="L60" s="54">
        <f t="shared" si="7"/>
        <v>269767.47185985633</v>
      </c>
      <c r="M60" s="49">
        <f t="shared" si="8"/>
        <v>0.13904891074769779</v>
      </c>
      <c r="N60" s="50">
        <f t="shared" si="9"/>
        <v>44487.898071999996</v>
      </c>
      <c r="O60" s="50">
        <f t="shared" si="10"/>
        <v>275456.34192799998</v>
      </c>
      <c r="P60" s="51">
        <f t="shared" si="11"/>
        <v>0.38378401123895839</v>
      </c>
      <c r="Q60" s="52">
        <f t="shared" si="12"/>
        <v>122789.4838</v>
      </c>
      <c r="R60" s="52">
        <f t="shared" si="13"/>
        <v>197154.7562</v>
      </c>
      <c r="S60" s="46" t="str">
        <f t="shared" si="14"/>
        <v>LUCRO PRESUMIDO</v>
      </c>
      <c r="T60" s="45"/>
      <c r="U60" s="45"/>
      <c r="V60" s="45"/>
      <c r="W60" s="45"/>
      <c r="X60" s="45"/>
      <c r="Y60" s="45"/>
      <c r="Z60" s="45"/>
      <c r="AA60" s="45"/>
      <c r="AB60" s="45"/>
    </row>
    <row r="61" spans="1:28" ht="22.5" customHeight="1" x14ac:dyDescent="0.3">
      <c r="A61" s="46" t="s">
        <v>134</v>
      </c>
      <c r="B61" s="47">
        <v>322852.82400000002</v>
      </c>
      <c r="C61" s="47">
        <v>39960</v>
      </c>
      <c r="D61" s="47">
        <v>0</v>
      </c>
      <c r="E61" s="47">
        <f t="shared" si="0"/>
        <v>0</v>
      </c>
      <c r="F61" s="47">
        <f t="shared" si="1"/>
        <v>3681297.8159999996</v>
      </c>
      <c r="G61" s="47">
        <f t="shared" si="2"/>
        <v>479520</v>
      </c>
      <c r="H61" s="48">
        <f t="shared" si="3"/>
        <v>0.13025840993246063</v>
      </c>
      <c r="I61" s="46" t="str">
        <f t="shared" si="4"/>
        <v>V</v>
      </c>
      <c r="J61" s="53">
        <f t="shared" si="5"/>
        <v>0.15831260142740916</v>
      </c>
      <c r="K61" s="54">
        <f t="shared" si="6"/>
        <v>51111.670445625481</v>
      </c>
      <c r="L61" s="54">
        <f t="shared" si="7"/>
        <v>271741.15355437453</v>
      </c>
      <c r="M61" s="49">
        <f t="shared" si="8"/>
        <v>0.13910522686708787</v>
      </c>
      <c r="N61" s="50">
        <f t="shared" si="9"/>
        <v>44910.515327199995</v>
      </c>
      <c r="O61" s="50">
        <f t="shared" si="10"/>
        <v>277942.30867280002</v>
      </c>
      <c r="P61" s="51">
        <f t="shared" si="11"/>
        <v>0.3842228940205894</v>
      </c>
      <c r="Q61" s="52">
        <f t="shared" si="12"/>
        <v>124047.44638000001</v>
      </c>
      <c r="R61" s="52">
        <f t="shared" si="13"/>
        <v>198805.37762000001</v>
      </c>
      <c r="S61" s="46" t="str">
        <f t="shared" si="14"/>
        <v>LUCRO PRESUMIDO</v>
      </c>
      <c r="T61" s="45"/>
      <c r="U61" s="45"/>
      <c r="V61" s="45"/>
      <c r="W61" s="45"/>
      <c r="X61" s="45"/>
      <c r="Y61" s="45"/>
      <c r="Z61" s="45"/>
      <c r="AA61" s="45"/>
      <c r="AB61" s="45"/>
    </row>
    <row r="62" spans="1:28" ht="22.5" customHeight="1" x14ac:dyDescent="0.3">
      <c r="A62" s="46" t="s">
        <v>135</v>
      </c>
      <c r="B62" s="47">
        <v>325761.408</v>
      </c>
      <c r="C62" s="47">
        <v>46620</v>
      </c>
      <c r="D62" s="47">
        <v>0</v>
      </c>
      <c r="E62" s="47">
        <f t="shared" si="0"/>
        <v>0</v>
      </c>
      <c r="F62" s="47">
        <f t="shared" si="1"/>
        <v>3717170.352</v>
      </c>
      <c r="G62" s="47">
        <f t="shared" si="2"/>
        <v>486180</v>
      </c>
      <c r="H62" s="48">
        <f t="shared" si="3"/>
        <v>0.13079303716559934</v>
      </c>
      <c r="I62" s="46" t="str">
        <f t="shared" si="4"/>
        <v>V</v>
      </c>
      <c r="J62" s="53">
        <f t="shared" si="5"/>
        <v>0.15972820751692035</v>
      </c>
      <c r="K62" s="54">
        <f t="shared" si="6"/>
        <v>52033.285778028156</v>
      </c>
      <c r="L62" s="54">
        <f t="shared" si="7"/>
        <v>273728.12222197186</v>
      </c>
      <c r="M62" s="49">
        <f t="shared" si="8"/>
        <v>0.13916053734148889</v>
      </c>
      <c r="N62" s="50">
        <f t="shared" si="9"/>
        <v>45333.132582399994</v>
      </c>
      <c r="O62" s="50">
        <f t="shared" si="10"/>
        <v>280428.2754176</v>
      </c>
      <c r="P62" s="51">
        <f t="shared" si="11"/>
        <v>0.37770283998772497</v>
      </c>
      <c r="Q62" s="52">
        <f t="shared" si="12"/>
        <v>123041.00895999999</v>
      </c>
      <c r="R62" s="52">
        <f t="shared" si="13"/>
        <v>202720.39903999999</v>
      </c>
      <c r="S62" s="46" t="str">
        <f t="shared" si="14"/>
        <v>LUCRO PRESUMIDO</v>
      </c>
      <c r="T62" s="45"/>
      <c r="U62" s="45"/>
      <c r="V62" s="45"/>
      <c r="W62" s="45"/>
      <c r="X62" s="45"/>
      <c r="Y62" s="45"/>
      <c r="Z62" s="45"/>
      <c r="AA62" s="45"/>
      <c r="AB62" s="45"/>
    </row>
    <row r="63" spans="1:28" ht="22.5" customHeight="1" x14ac:dyDescent="0.3">
      <c r="A63" s="46" t="s">
        <v>136</v>
      </c>
      <c r="B63" s="47">
        <v>328669.99200000003</v>
      </c>
      <c r="C63" s="47">
        <v>46620</v>
      </c>
      <c r="D63" s="47">
        <v>0</v>
      </c>
      <c r="E63" s="47">
        <f t="shared" si="0"/>
        <v>0</v>
      </c>
      <c r="F63" s="47">
        <f t="shared" si="1"/>
        <v>3752073.36</v>
      </c>
      <c r="G63" s="47">
        <f t="shared" si="2"/>
        <v>492840</v>
      </c>
      <c r="H63" s="48">
        <f t="shared" si="3"/>
        <v>0.13135137634942193</v>
      </c>
      <c r="I63" s="46" t="str">
        <f t="shared" si="4"/>
        <v>V</v>
      </c>
      <c r="J63" s="53">
        <f t="shared" si="5"/>
        <v>0.16107957302839088</v>
      </c>
      <c r="K63" s="54">
        <f t="shared" si="6"/>
        <v>52942.021978604651</v>
      </c>
      <c r="L63" s="54">
        <f t="shared" si="7"/>
        <v>275727.97002139536</v>
      </c>
      <c r="M63" s="49">
        <f t="shared" si="8"/>
        <v>0.13921486886944032</v>
      </c>
      <c r="N63" s="50">
        <f t="shared" si="9"/>
        <v>45755.7498376</v>
      </c>
      <c r="O63" s="50">
        <f t="shared" si="10"/>
        <v>282914.24216240004</v>
      </c>
      <c r="P63" s="51">
        <f t="shared" si="11"/>
        <v>0.37818777060730269</v>
      </c>
      <c r="Q63" s="52">
        <f t="shared" si="12"/>
        <v>124298.97154000001</v>
      </c>
      <c r="R63" s="52">
        <f t="shared" si="13"/>
        <v>204371.02046000003</v>
      </c>
      <c r="S63" s="46" t="str">
        <f t="shared" si="14"/>
        <v>LUCRO PRESUMIDO</v>
      </c>
      <c r="T63" s="45"/>
      <c r="U63" s="45"/>
      <c r="V63" s="45"/>
      <c r="W63" s="45"/>
      <c r="X63" s="45"/>
      <c r="Y63" s="45"/>
      <c r="Z63" s="45"/>
      <c r="AA63" s="45"/>
      <c r="AB63" s="45"/>
    </row>
    <row r="64" spans="1:28" ht="22.5" customHeight="1" x14ac:dyDescent="0.3">
      <c r="A64" s="46" t="s">
        <v>137</v>
      </c>
      <c r="B64" s="47">
        <v>331578.576</v>
      </c>
      <c r="C64" s="47">
        <v>46620</v>
      </c>
      <c r="D64" s="47">
        <v>0</v>
      </c>
      <c r="E64" s="47">
        <f t="shared" si="0"/>
        <v>0</v>
      </c>
      <c r="F64" s="47">
        <f t="shared" si="1"/>
        <v>3786976.3679999998</v>
      </c>
      <c r="G64" s="47">
        <f t="shared" si="2"/>
        <v>499500</v>
      </c>
      <c r="H64" s="48">
        <f t="shared" si="3"/>
        <v>0.13189942356672241</v>
      </c>
      <c r="I64" s="46" t="str">
        <f t="shared" si="4"/>
        <v>V</v>
      </c>
      <c r="J64" s="53">
        <f t="shared" si="5"/>
        <v>0.16240602857651629</v>
      </c>
      <c r="K64" s="54">
        <f t="shared" si="6"/>
        <v>53850.359689216581</v>
      </c>
      <c r="L64" s="54">
        <f t="shared" si="7"/>
        <v>277728.21631078341</v>
      </c>
      <c r="M64" s="49">
        <f t="shared" si="8"/>
        <v>0.13926824721269088</v>
      </c>
      <c r="N64" s="50">
        <f t="shared" si="9"/>
        <v>46178.367092800007</v>
      </c>
      <c r="O64" s="50">
        <f t="shared" si="10"/>
        <v>285400.20890720002</v>
      </c>
      <c r="P64" s="51">
        <f t="shared" si="11"/>
        <v>0.37866419367215087</v>
      </c>
      <c r="Q64" s="52">
        <f t="shared" si="12"/>
        <v>125556.93412000001</v>
      </c>
      <c r="R64" s="52">
        <f t="shared" si="13"/>
        <v>206021.64188000001</v>
      </c>
      <c r="S64" s="46" t="str">
        <f t="shared" si="14"/>
        <v>LUCRO PRESUMIDO</v>
      </c>
      <c r="T64" s="45"/>
      <c r="U64" s="45"/>
      <c r="V64" s="45"/>
      <c r="W64" s="45"/>
      <c r="X64" s="45"/>
      <c r="Y64" s="45"/>
      <c r="Z64" s="45"/>
      <c r="AA64" s="45"/>
      <c r="AB64" s="45"/>
    </row>
    <row r="65" spans="1:28" ht="22.5" customHeight="1" x14ac:dyDescent="0.3">
      <c r="A65" s="46" t="s">
        <v>138</v>
      </c>
      <c r="B65" s="47">
        <v>334487.15999999997</v>
      </c>
      <c r="C65" s="47">
        <v>46620</v>
      </c>
      <c r="D65" s="47">
        <v>0</v>
      </c>
      <c r="E65" s="47">
        <f t="shared" si="0"/>
        <v>0</v>
      </c>
      <c r="F65" s="47">
        <f t="shared" si="1"/>
        <v>3821879.3759999997</v>
      </c>
      <c r="G65" s="47">
        <f t="shared" si="2"/>
        <v>506160</v>
      </c>
      <c r="H65" s="48">
        <f t="shared" si="3"/>
        <v>0.13243746078918636</v>
      </c>
      <c r="I65" s="46" t="str">
        <f t="shared" si="4"/>
        <v>V</v>
      </c>
      <c r="J65" s="53">
        <f t="shared" si="5"/>
        <v>0.16370825662604582</v>
      </c>
      <c r="K65" s="54">
        <f t="shared" si="6"/>
        <v>54758.309827397243</v>
      </c>
      <c r="L65" s="54">
        <f t="shared" si="7"/>
        <v>279728.85017260275</v>
      </c>
      <c r="M65" s="49">
        <f t="shared" si="8"/>
        <v>0.13932069723692833</v>
      </c>
      <c r="N65" s="50">
        <f t="shared" si="9"/>
        <v>46600.984347999998</v>
      </c>
      <c r="O65" s="50">
        <f t="shared" si="10"/>
        <v>287886.17565200001</v>
      </c>
      <c r="P65" s="51">
        <f t="shared" si="11"/>
        <v>0.37913233111847999</v>
      </c>
      <c r="Q65" s="52">
        <f t="shared" si="12"/>
        <v>126814.89669999998</v>
      </c>
      <c r="R65" s="52">
        <f t="shared" si="13"/>
        <v>207672.26329999999</v>
      </c>
      <c r="S65" s="46" t="str">
        <f t="shared" si="14"/>
        <v>LUCRO PRESUMIDO</v>
      </c>
      <c r="T65" s="45"/>
      <c r="U65" s="45"/>
      <c r="V65" s="45"/>
      <c r="W65" s="45"/>
      <c r="X65" s="45"/>
      <c r="Y65" s="45"/>
      <c r="Z65" s="45"/>
      <c r="AA65" s="45"/>
      <c r="AB65" s="45"/>
    </row>
    <row r="66" spans="1:28" ht="22.5" customHeight="1" x14ac:dyDescent="0.3">
      <c r="A66" s="46" t="s">
        <v>139</v>
      </c>
      <c r="B66" s="47">
        <v>337395.74400000001</v>
      </c>
      <c r="C66" s="47">
        <v>46620</v>
      </c>
      <c r="D66" s="47">
        <v>0</v>
      </c>
      <c r="E66" s="47">
        <f t="shared" si="0"/>
        <v>0</v>
      </c>
      <c r="F66" s="47">
        <f t="shared" si="1"/>
        <v>3856782.3839999996</v>
      </c>
      <c r="G66" s="47">
        <f t="shared" si="2"/>
        <v>512820</v>
      </c>
      <c r="H66" s="48">
        <f t="shared" si="3"/>
        <v>0.13296575978137948</v>
      </c>
      <c r="I66" s="46" t="str">
        <f t="shared" si="4"/>
        <v>V</v>
      </c>
      <c r="J66" s="53">
        <f t="shared" si="5"/>
        <v>0.16498691493712234</v>
      </c>
      <c r="K66" s="54">
        <f t="shared" si="6"/>
        <v>55665.882915475107</v>
      </c>
      <c r="L66" s="54">
        <f t="shared" si="7"/>
        <v>281729.86108452489</v>
      </c>
      <c r="M66" s="49">
        <f t="shared" si="8"/>
        <v>0.13937224295040307</v>
      </c>
      <c r="N66" s="50">
        <f t="shared" si="9"/>
        <v>47023.601603199997</v>
      </c>
      <c r="O66" s="50">
        <f t="shared" si="10"/>
        <v>290372.14239679999</v>
      </c>
      <c r="P66" s="51">
        <f t="shared" si="11"/>
        <v>0.37959239722952759</v>
      </c>
      <c r="Q66" s="52">
        <f t="shared" si="12"/>
        <v>128072.85928</v>
      </c>
      <c r="R66" s="52">
        <f t="shared" si="13"/>
        <v>209322.88472</v>
      </c>
      <c r="S66" s="46" t="str">
        <f t="shared" si="14"/>
        <v>LUCRO PRESUMIDO</v>
      </c>
      <c r="T66" s="45"/>
      <c r="U66" s="45"/>
      <c r="V66" s="45"/>
      <c r="W66" s="45"/>
      <c r="X66" s="45"/>
      <c r="Y66" s="45"/>
      <c r="Z66" s="45"/>
      <c r="AA66" s="45"/>
      <c r="AB66" s="45"/>
    </row>
    <row r="67" spans="1:28" ht="22.5" customHeight="1" x14ac:dyDescent="0.3">
      <c r="A67" s="46" t="s">
        <v>140</v>
      </c>
      <c r="B67" s="47">
        <v>340304.32799999998</v>
      </c>
      <c r="C67" s="47">
        <v>46620</v>
      </c>
      <c r="D67" s="47">
        <v>0</v>
      </c>
      <c r="E67" s="47">
        <f t="shared" si="0"/>
        <v>0</v>
      </c>
      <c r="F67" s="47">
        <f t="shared" si="1"/>
        <v>3891685.392</v>
      </c>
      <c r="G67" s="47">
        <f t="shared" si="2"/>
        <v>519480</v>
      </c>
      <c r="H67" s="48">
        <f t="shared" si="3"/>
        <v>0.13348458255846596</v>
      </c>
      <c r="I67" s="46" t="str">
        <f t="shared" si="4"/>
        <v>V</v>
      </c>
      <c r="J67" s="53">
        <f t="shared" si="5"/>
        <v>0.16624263767311231</v>
      </c>
      <c r="K67" s="54">
        <f t="shared" si="6"/>
        <v>56573.089098295968</v>
      </c>
      <c r="L67" s="54">
        <f t="shared" si="7"/>
        <v>283731.23890170403</v>
      </c>
      <c r="M67" s="49">
        <f t="shared" si="8"/>
        <v>0.13942290754057057</v>
      </c>
      <c r="N67" s="50">
        <f t="shared" si="9"/>
        <v>47446.218858399996</v>
      </c>
      <c r="O67" s="50">
        <f t="shared" si="10"/>
        <v>292858.10914159997</v>
      </c>
      <c r="P67" s="51">
        <f t="shared" si="11"/>
        <v>0.3800445989626085</v>
      </c>
      <c r="Q67" s="52">
        <f t="shared" si="12"/>
        <v>129330.82185999998</v>
      </c>
      <c r="R67" s="52">
        <f t="shared" si="13"/>
        <v>210973.50614000001</v>
      </c>
      <c r="S67" s="46" t="str">
        <f t="shared" si="14"/>
        <v>LUCRO PRESUMIDO</v>
      </c>
      <c r="T67" s="45"/>
      <c r="U67" s="45"/>
      <c r="V67" s="45"/>
      <c r="W67" s="45"/>
      <c r="X67" s="45"/>
      <c r="Y67" s="45"/>
      <c r="Z67" s="45"/>
      <c r="AA67" s="45"/>
      <c r="AB67" s="45"/>
    </row>
    <row r="68" spans="1:28" ht="22.5" customHeight="1" x14ac:dyDescent="0.3">
      <c r="A68" s="46" t="s">
        <v>141</v>
      </c>
      <c r="B68" s="47">
        <v>342243.38400000002</v>
      </c>
      <c r="C68" s="47">
        <v>46620</v>
      </c>
      <c r="D68" s="47">
        <v>0</v>
      </c>
      <c r="E68" s="47">
        <f t="shared" si="0"/>
        <v>0</v>
      </c>
      <c r="F68" s="47">
        <f t="shared" si="1"/>
        <v>3925618.872</v>
      </c>
      <c r="G68" s="47">
        <f t="shared" si="2"/>
        <v>526140</v>
      </c>
      <c r="H68" s="48">
        <f t="shared" si="3"/>
        <v>0.13402727497382991</v>
      </c>
      <c r="I68" s="46" t="str">
        <f t="shared" si="4"/>
        <v>V</v>
      </c>
      <c r="J68" s="53">
        <f t="shared" si="5"/>
        <v>0.1674420715287411</v>
      </c>
      <c r="K68" s="54">
        <f t="shared" si="6"/>
        <v>57305.94118396641</v>
      </c>
      <c r="L68" s="54">
        <f t="shared" si="7"/>
        <v>284937.44281603361</v>
      </c>
      <c r="M68" s="49">
        <f t="shared" si="8"/>
        <v>0.13945620551484497</v>
      </c>
      <c r="N68" s="50">
        <f t="shared" si="9"/>
        <v>47727.963695200007</v>
      </c>
      <c r="O68" s="50">
        <f t="shared" si="10"/>
        <v>294515.42030480003</v>
      </c>
      <c r="P68" s="51">
        <f t="shared" si="11"/>
        <v>0.38034179670219714</v>
      </c>
      <c r="Q68" s="52">
        <f t="shared" si="12"/>
        <v>130169.46358</v>
      </c>
      <c r="R68" s="52">
        <f t="shared" si="13"/>
        <v>212073.92042000004</v>
      </c>
      <c r="S68" s="46" t="str">
        <f t="shared" si="14"/>
        <v>LUCRO PRESUMIDO</v>
      </c>
      <c r="T68" s="45"/>
      <c r="U68" s="45"/>
      <c r="V68" s="45"/>
      <c r="W68" s="45"/>
      <c r="X68" s="45"/>
      <c r="Y68" s="45"/>
      <c r="Z68" s="45"/>
      <c r="AA68" s="45"/>
      <c r="AB68" s="45"/>
    </row>
    <row r="69" spans="1:28" ht="22.5" customHeight="1" x14ac:dyDescent="0.3">
      <c r="A69" s="46" t="s">
        <v>142</v>
      </c>
      <c r="B69" s="47">
        <v>344182.44</v>
      </c>
      <c r="C69" s="47">
        <v>46620</v>
      </c>
      <c r="D69" s="47">
        <v>0</v>
      </c>
      <c r="E69" s="47">
        <f t="shared" si="0"/>
        <v>0</v>
      </c>
      <c r="F69" s="47">
        <f t="shared" si="1"/>
        <v>3958582.824</v>
      </c>
      <c r="G69" s="47">
        <f t="shared" si="2"/>
        <v>532800</v>
      </c>
      <c r="H69" s="48">
        <f t="shared" si="3"/>
        <v>0.13459362193200886</v>
      </c>
      <c r="I69" s="46" t="str">
        <f t="shared" si="4"/>
        <v>V</v>
      </c>
      <c r="J69" s="53">
        <f t="shared" si="5"/>
        <v>0.16858754533918022</v>
      </c>
      <c r="K69" s="54">
        <f t="shared" si="6"/>
        <v>58024.872708449679</v>
      </c>
      <c r="L69" s="54">
        <f t="shared" si="7"/>
        <v>286157.56729155034</v>
      </c>
      <c r="M69" s="49">
        <f t="shared" si="8"/>
        <v>0.13948912830067681</v>
      </c>
      <c r="N69" s="50">
        <f t="shared" si="9"/>
        <v>48009.708531999997</v>
      </c>
      <c r="O69" s="50">
        <f t="shared" si="10"/>
        <v>296172.73146799998</v>
      </c>
      <c r="P69" s="51">
        <f t="shared" si="11"/>
        <v>0.38063564573486081</v>
      </c>
      <c r="Q69" s="52">
        <f t="shared" si="12"/>
        <v>131008.1053</v>
      </c>
      <c r="R69" s="52">
        <f t="shared" si="13"/>
        <v>213174.33470000001</v>
      </c>
      <c r="S69" s="46" t="str">
        <f t="shared" si="14"/>
        <v>LUCRO PRESUMIDO</v>
      </c>
      <c r="T69" s="45"/>
      <c r="U69" s="45"/>
      <c r="V69" s="45"/>
      <c r="W69" s="45"/>
      <c r="X69" s="45"/>
      <c r="Y69" s="45"/>
      <c r="Z69" s="45"/>
      <c r="AA69" s="45"/>
      <c r="AB69" s="45"/>
    </row>
    <row r="70" spans="1:28" ht="22.5" customHeight="1" x14ac:dyDescent="0.3">
      <c r="A70" s="46" t="s">
        <v>143</v>
      </c>
      <c r="B70" s="47">
        <v>346121.49599999998</v>
      </c>
      <c r="C70" s="47">
        <v>46620</v>
      </c>
      <c r="D70" s="47">
        <v>0</v>
      </c>
      <c r="E70" s="47">
        <f t="shared" si="0"/>
        <v>0</v>
      </c>
      <c r="F70" s="47">
        <f t="shared" si="1"/>
        <v>3990577.2480000001</v>
      </c>
      <c r="G70" s="47">
        <f t="shared" si="2"/>
        <v>539460</v>
      </c>
      <c r="H70" s="48">
        <f t="shared" si="3"/>
        <v>0.13518345003103671</v>
      </c>
      <c r="I70" s="46" t="str">
        <f t="shared" si="4"/>
        <v>V</v>
      </c>
      <c r="J70" s="53">
        <f t="shared" si="5"/>
        <v>0.16968123120016346</v>
      </c>
      <c r="K70" s="54">
        <f t="shared" si="6"/>
        <v>58730.321586122445</v>
      </c>
      <c r="L70" s="54">
        <f t="shared" si="7"/>
        <v>287391.17441387754</v>
      </c>
      <c r="M70" s="49">
        <f t="shared" si="8"/>
        <v>0.13952168220375424</v>
      </c>
      <c r="N70" s="50">
        <f t="shared" si="9"/>
        <v>48291.453368799994</v>
      </c>
      <c r="O70" s="50">
        <f t="shared" si="10"/>
        <v>297830.04263119999</v>
      </c>
      <c r="P70" s="51">
        <f t="shared" si="11"/>
        <v>0.38092620234138819</v>
      </c>
      <c r="Q70" s="52">
        <f t="shared" si="12"/>
        <v>131846.74701999998</v>
      </c>
      <c r="R70" s="52">
        <f t="shared" si="13"/>
        <v>214274.74898</v>
      </c>
      <c r="S70" s="46" t="str">
        <f t="shared" si="14"/>
        <v>LUCRO PRESUMIDO</v>
      </c>
      <c r="T70" s="45"/>
      <c r="U70" s="45"/>
      <c r="V70" s="45"/>
      <c r="W70" s="45"/>
      <c r="X70" s="45"/>
      <c r="Y70" s="45"/>
      <c r="Z70" s="45"/>
      <c r="AA70" s="45"/>
      <c r="AB70" s="45"/>
    </row>
    <row r="71" spans="1:28" ht="22.5" customHeight="1" x14ac:dyDescent="0.3">
      <c r="A71" s="46" t="s">
        <v>144</v>
      </c>
      <c r="B71" s="47">
        <v>348060.55200000003</v>
      </c>
      <c r="C71" s="47">
        <v>46620</v>
      </c>
      <c r="D71" s="47">
        <v>0</v>
      </c>
      <c r="E71" s="47">
        <f t="shared" si="0"/>
        <v>0</v>
      </c>
      <c r="F71" s="47">
        <f t="shared" si="1"/>
        <v>4021602.1439999999</v>
      </c>
      <c r="G71" s="47">
        <f t="shared" si="2"/>
        <v>546120</v>
      </c>
      <c r="H71" s="48">
        <f t="shared" si="3"/>
        <v>0.13579662543565624</v>
      </c>
      <c r="I71" s="46" t="str">
        <f t="shared" si="4"/>
        <v>V</v>
      </c>
      <c r="J71" s="53">
        <f t="shared" si="5"/>
        <v>0.17072515612822389</v>
      </c>
      <c r="K71" s="54">
        <f t="shared" si="6"/>
        <v>59422.692082275797</v>
      </c>
      <c r="L71" s="54">
        <f t="shared" si="7"/>
        <v>288637.85991772421</v>
      </c>
      <c r="M71" s="49">
        <f t="shared" si="8"/>
        <v>0.13955387338924866</v>
      </c>
      <c r="N71" s="50">
        <f t="shared" si="9"/>
        <v>48573.198205600005</v>
      </c>
      <c r="O71" s="50">
        <f t="shared" si="10"/>
        <v>299487.3537944</v>
      </c>
      <c r="P71" s="51">
        <f t="shared" si="11"/>
        <v>0.38121352154840005</v>
      </c>
      <c r="Q71" s="52">
        <f t="shared" si="12"/>
        <v>132685.38874000002</v>
      </c>
      <c r="R71" s="52">
        <f t="shared" si="13"/>
        <v>215375.16326</v>
      </c>
      <c r="S71" s="46" t="str">
        <f t="shared" si="14"/>
        <v>LUCRO PRESUMIDO</v>
      </c>
      <c r="T71" s="45"/>
      <c r="U71" s="45"/>
      <c r="V71" s="45"/>
      <c r="W71" s="45"/>
      <c r="X71" s="45"/>
      <c r="Y71" s="45"/>
      <c r="Z71" s="45"/>
      <c r="AA71" s="45"/>
      <c r="AB71" s="45"/>
    </row>
    <row r="72" spans="1:28" ht="22.5" customHeight="1" x14ac:dyDescent="0.3">
      <c r="A72" s="46" t="s">
        <v>145</v>
      </c>
      <c r="B72" s="47">
        <v>349999.60800000001</v>
      </c>
      <c r="C72" s="47">
        <v>46620</v>
      </c>
      <c r="D72" s="47">
        <v>0</v>
      </c>
      <c r="E72" s="47">
        <f t="shared" si="0"/>
        <v>0</v>
      </c>
      <c r="F72" s="47">
        <f t="shared" si="1"/>
        <v>4051657.5120000001</v>
      </c>
      <c r="G72" s="47">
        <f t="shared" si="2"/>
        <v>552780</v>
      </c>
      <c r="H72" s="48">
        <f t="shared" si="3"/>
        <v>0.13643305199484493</v>
      </c>
      <c r="I72" s="46" t="str">
        <f t="shared" si="4"/>
        <v>V</v>
      </c>
      <c r="J72" s="53">
        <f t="shared" si="5"/>
        <v>0.17172121263935697</v>
      </c>
      <c r="K72" s="54">
        <f t="shared" si="6"/>
        <v>60102.357109059587</v>
      </c>
      <c r="L72" s="54">
        <f t="shared" si="7"/>
        <v>289897.25089094043</v>
      </c>
      <c r="M72" s="49">
        <f t="shared" si="8"/>
        <v>0.13958570788570712</v>
      </c>
      <c r="N72" s="50">
        <f t="shared" si="9"/>
        <v>48854.943042400002</v>
      </c>
      <c r="O72" s="50">
        <f t="shared" si="10"/>
        <v>301144.66495760001</v>
      </c>
      <c r="P72" s="51">
        <f t="shared" si="11"/>
        <v>0.38149765716309031</v>
      </c>
      <c r="Q72" s="52">
        <f t="shared" si="12"/>
        <v>133524.03046000001</v>
      </c>
      <c r="R72" s="52">
        <f t="shared" si="13"/>
        <v>216475.57754</v>
      </c>
      <c r="S72" s="46" t="str">
        <f t="shared" si="14"/>
        <v>LUCRO PRESUMIDO</v>
      </c>
      <c r="T72" s="45"/>
      <c r="U72" s="45"/>
      <c r="V72" s="45"/>
      <c r="W72" s="45"/>
      <c r="X72" s="45"/>
      <c r="Y72" s="45"/>
      <c r="Z72" s="45"/>
      <c r="AA72" s="45"/>
      <c r="AB72" s="45"/>
    </row>
    <row r="73" spans="1:28" ht="22.5" customHeight="1" x14ac:dyDescent="0.3">
      <c r="A73" s="46" t="s">
        <v>146</v>
      </c>
      <c r="B73" s="47">
        <v>351938.66399999999</v>
      </c>
      <c r="C73" s="47">
        <v>46620</v>
      </c>
      <c r="D73" s="47">
        <v>0</v>
      </c>
      <c r="E73" s="47">
        <f t="shared" si="0"/>
        <v>0</v>
      </c>
      <c r="F73" s="47">
        <f t="shared" si="1"/>
        <v>4080743.3519999995</v>
      </c>
      <c r="G73" s="47">
        <f t="shared" si="2"/>
        <v>559440</v>
      </c>
      <c r="H73" s="48">
        <f t="shared" si="3"/>
        <v>0.13709266958085339</v>
      </c>
      <c r="I73" s="46" t="str">
        <f t="shared" si="4"/>
        <v>V</v>
      </c>
      <c r="J73" s="53">
        <f t="shared" si="5"/>
        <v>0.17267116835824961</v>
      </c>
      <c r="K73" s="54">
        <f t="shared" si="6"/>
        <v>60769.660303321441</v>
      </c>
      <c r="L73" s="54">
        <f t="shared" si="7"/>
        <v>291169.00369667856</v>
      </c>
      <c r="M73" s="49">
        <f t="shared" si="8"/>
        <v>0.13961719158881616</v>
      </c>
      <c r="N73" s="50">
        <f t="shared" si="9"/>
        <v>49136.687879199999</v>
      </c>
      <c r="O73" s="50">
        <f t="shared" si="10"/>
        <v>302801.97612080001</v>
      </c>
      <c r="P73" s="51">
        <f t="shared" si="11"/>
        <v>0.38177866180681985</v>
      </c>
      <c r="Q73" s="52">
        <f t="shared" si="12"/>
        <v>134362.67217999999</v>
      </c>
      <c r="R73" s="52">
        <f t="shared" si="13"/>
        <v>217575.99182</v>
      </c>
      <c r="S73" s="46" t="str">
        <f t="shared" si="14"/>
        <v>LUCRO PRESUMIDO</v>
      </c>
      <c r="T73" s="45"/>
      <c r="U73" s="45"/>
      <c r="V73" s="45"/>
      <c r="W73" s="45"/>
      <c r="X73" s="45"/>
      <c r="Y73" s="45"/>
      <c r="Z73" s="45"/>
      <c r="AA73" s="45"/>
      <c r="AB73" s="45"/>
    </row>
    <row r="74" spans="1:28" ht="22.5" customHeight="1" x14ac:dyDescent="0.3">
      <c r="A74" s="46" t="s">
        <v>147</v>
      </c>
      <c r="B74" s="47">
        <v>353877.72</v>
      </c>
      <c r="C74" s="47">
        <v>55500</v>
      </c>
      <c r="D74" s="47">
        <v>0</v>
      </c>
      <c r="E74" s="47">
        <f t="shared" si="0"/>
        <v>0</v>
      </c>
      <c r="F74" s="47">
        <f t="shared" si="1"/>
        <v>4108859.6639999999</v>
      </c>
      <c r="G74" s="47">
        <f t="shared" si="2"/>
        <v>568320</v>
      </c>
      <c r="H74" s="48">
        <f t="shared" si="3"/>
        <v>0.13831574852248349</v>
      </c>
      <c r="I74" s="46" t="str">
        <f t="shared" si="4"/>
        <v>V</v>
      </c>
      <c r="J74" s="53">
        <f t="shared" si="5"/>
        <v>0.17357667475693078</v>
      </c>
      <c r="K74" s="54">
        <f t="shared" si="6"/>
        <v>61424.917908164214</v>
      </c>
      <c r="L74" s="54">
        <f t="shared" si="7"/>
        <v>292452.80209183577</v>
      </c>
      <c r="M74" s="49">
        <f t="shared" si="8"/>
        <v>0.13964833026504184</v>
      </c>
      <c r="N74" s="50">
        <f t="shared" si="9"/>
        <v>49418.432715999996</v>
      </c>
      <c r="O74" s="50">
        <f t="shared" si="10"/>
        <v>304459.28728399996</v>
      </c>
      <c r="P74" s="51">
        <f t="shared" si="11"/>
        <v>0.37352482631571154</v>
      </c>
      <c r="Q74" s="52">
        <f t="shared" si="12"/>
        <v>132182.1139</v>
      </c>
      <c r="R74" s="52">
        <f t="shared" si="13"/>
        <v>221695.60609999998</v>
      </c>
      <c r="S74" s="46" t="str">
        <f t="shared" si="14"/>
        <v>LUCRO PRESUMIDO</v>
      </c>
      <c r="T74" s="45"/>
      <c r="U74" s="45"/>
      <c r="V74" s="45"/>
      <c r="W74" s="45"/>
      <c r="X74" s="45"/>
      <c r="Y74" s="45"/>
      <c r="Z74" s="45"/>
      <c r="AA74" s="45"/>
      <c r="AB74" s="45"/>
    </row>
    <row r="75" spans="1:28" ht="22.5" customHeight="1" x14ac:dyDescent="0.3">
      <c r="A75" s="46" t="s">
        <v>148</v>
      </c>
      <c r="B75" s="47">
        <v>355816.77600000001</v>
      </c>
      <c r="C75" s="47">
        <v>55500</v>
      </c>
      <c r="D75" s="47">
        <v>0</v>
      </c>
      <c r="E75" s="47">
        <f t="shared" si="0"/>
        <v>0</v>
      </c>
      <c r="F75" s="47">
        <f t="shared" si="1"/>
        <v>4136006.4480000003</v>
      </c>
      <c r="G75" s="47">
        <f t="shared" si="2"/>
        <v>577200</v>
      </c>
      <c r="H75" s="48">
        <f t="shared" si="3"/>
        <v>0.13955490816004645</v>
      </c>
      <c r="I75" s="46" t="str">
        <f t="shared" si="4"/>
        <v>V</v>
      </c>
      <c r="J75" s="53">
        <f t="shared" si="5"/>
        <v>0.17443927511014362</v>
      </c>
      <c r="K75" s="54">
        <f t="shared" si="6"/>
        <v>62068.420477468353</v>
      </c>
      <c r="L75" s="54">
        <f t="shared" si="7"/>
        <v>293748.35552253167</v>
      </c>
      <c r="M75" s="49">
        <f t="shared" si="8"/>
        <v>0.13967912955515061</v>
      </c>
      <c r="N75" s="50">
        <f t="shared" si="9"/>
        <v>49700.1775528</v>
      </c>
      <c r="O75" s="50">
        <f t="shared" si="10"/>
        <v>306116.59844720003</v>
      </c>
      <c r="P75" s="51">
        <f t="shared" si="11"/>
        <v>0.37384621690799652</v>
      </c>
      <c r="Q75" s="52">
        <f t="shared" si="12"/>
        <v>133020.75562000001</v>
      </c>
      <c r="R75" s="52">
        <f t="shared" si="13"/>
        <v>222796.02038</v>
      </c>
      <c r="S75" s="46" t="str">
        <f t="shared" si="14"/>
        <v>LUCRO PRESUMIDO</v>
      </c>
      <c r="T75" s="45"/>
      <c r="U75" s="45"/>
      <c r="V75" s="45"/>
      <c r="W75" s="45"/>
      <c r="X75" s="45"/>
      <c r="Y75" s="45"/>
      <c r="Z75" s="45"/>
      <c r="AA75" s="45"/>
      <c r="AB75" s="45"/>
    </row>
    <row r="76" spans="1:28" ht="22.5" customHeight="1" x14ac:dyDescent="0.3">
      <c r="A76" s="46" t="s">
        <v>149</v>
      </c>
      <c r="B76" s="47">
        <v>357755.83199999999</v>
      </c>
      <c r="C76" s="47">
        <v>55500</v>
      </c>
      <c r="D76" s="47">
        <v>0</v>
      </c>
      <c r="E76" s="47">
        <f t="shared" si="0"/>
        <v>0</v>
      </c>
      <c r="F76" s="47">
        <f t="shared" si="1"/>
        <v>4162183.7039999999</v>
      </c>
      <c r="G76" s="47">
        <f t="shared" si="2"/>
        <v>586080</v>
      </c>
      <c r="H76" s="48">
        <f t="shared" si="3"/>
        <v>0.14081069978645036</v>
      </c>
      <c r="I76" s="46" t="str">
        <f t="shared" si="4"/>
        <v>V</v>
      </c>
      <c r="J76" s="53">
        <f t="shared" si="5"/>
        <v>0.17526041174467105</v>
      </c>
      <c r="K76" s="54">
        <f t="shared" si="6"/>
        <v>62700.434420377365</v>
      </c>
      <c r="L76" s="54">
        <f t="shared" si="7"/>
        <v>295055.39757962263</v>
      </c>
      <c r="M76" s="49">
        <f t="shared" si="8"/>
        <v>0.13970959497761593</v>
      </c>
      <c r="N76" s="50">
        <f t="shared" si="9"/>
        <v>49981.922389600004</v>
      </c>
      <c r="O76" s="50">
        <f t="shared" si="10"/>
        <v>307773.90961039998</v>
      </c>
      <c r="P76" s="51">
        <f t="shared" si="11"/>
        <v>0.37416412359142198</v>
      </c>
      <c r="Q76" s="52">
        <f t="shared" si="12"/>
        <v>133859.39734</v>
      </c>
      <c r="R76" s="52">
        <f t="shared" si="13"/>
        <v>223896.43466</v>
      </c>
      <c r="S76" s="46" t="str">
        <f t="shared" si="14"/>
        <v>LUCRO PRESUMIDO</v>
      </c>
      <c r="T76" s="45"/>
      <c r="U76" s="45"/>
      <c r="V76" s="45"/>
      <c r="W76" s="45"/>
      <c r="X76" s="45"/>
      <c r="Y76" s="45"/>
      <c r="Z76" s="45"/>
      <c r="AA76" s="45"/>
      <c r="AB76" s="45"/>
    </row>
    <row r="77" spans="1:28" ht="22.5" customHeight="1" x14ac:dyDescent="0.3">
      <c r="A77" s="46" t="s">
        <v>150</v>
      </c>
      <c r="B77" s="47">
        <v>359694.88799999998</v>
      </c>
      <c r="C77" s="47">
        <v>55500</v>
      </c>
      <c r="D77" s="47">
        <v>0</v>
      </c>
      <c r="E77" s="47">
        <f t="shared" si="0"/>
        <v>0</v>
      </c>
      <c r="F77" s="47">
        <f t="shared" si="1"/>
        <v>4187391.4319999996</v>
      </c>
      <c r="G77" s="47">
        <f t="shared" si="2"/>
        <v>594960</v>
      </c>
      <c r="H77" s="48">
        <f t="shared" si="3"/>
        <v>0.14208368375913516</v>
      </c>
      <c r="I77" s="46" t="str">
        <f t="shared" si="4"/>
        <v>V</v>
      </c>
      <c r="J77" s="53">
        <f t="shared" si="5"/>
        <v>0.17604143265104719</v>
      </c>
      <c r="K77" s="54">
        <f t="shared" si="6"/>
        <v>63321.203400777958</v>
      </c>
      <c r="L77" s="54">
        <f t="shared" si="7"/>
        <v>296373.68459922203</v>
      </c>
      <c r="M77" s="49">
        <f t="shared" si="8"/>
        <v>0.1397397319319145</v>
      </c>
      <c r="N77" s="50">
        <f t="shared" si="9"/>
        <v>50263.667226400001</v>
      </c>
      <c r="O77" s="50">
        <f t="shared" si="10"/>
        <v>309431.22077359998</v>
      </c>
      <c r="P77" s="51">
        <f t="shared" si="11"/>
        <v>0.37447860270952749</v>
      </c>
      <c r="Q77" s="52">
        <f t="shared" si="12"/>
        <v>134698.03905999998</v>
      </c>
      <c r="R77" s="52">
        <f t="shared" si="13"/>
        <v>224996.84894</v>
      </c>
      <c r="S77" s="46" t="str">
        <f t="shared" si="14"/>
        <v>LUCRO PRESUMIDO</v>
      </c>
      <c r="T77" s="45"/>
      <c r="U77" s="45"/>
      <c r="V77" s="45"/>
      <c r="W77" s="45"/>
      <c r="X77" s="45"/>
      <c r="Y77" s="45"/>
      <c r="Z77" s="45"/>
      <c r="AA77" s="45"/>
      <c r="AB77" s="45"/>
    </row>
    <row r="78" spans="1:28" ht="22.5" customHeight="1" x14ac:dyDescent="0.3">
      <c r="A78" s="46" t="s">
        <v>151</v>
      </c>
      <c r="B78" s="47">
        <v>361633.94400000002</v>
      </c>
      <c r="C78" s="47">
        <v>55500</v>
      </c>
      <c r="D78" s="47">
        <v>0</v>
      </c>
      <c r="E78" s="47">
        <f t="shared" si="0"/>
        <v>0</v>
      </c>
      <c r="F78" s="47">
        <f t="shared" si="1"/>
        <v>4211629.6319999993</v>
      </c>
      <c r="G78" s="47">
        <f t="shared" si="2"/>
        <v>603840</v>
      </c>
      <c r="H78" s="48">
        <f t="shared" si="3"/>
        <v>0.14337443050832827</v>
      </c>
      <c r="I78" s="46" t="str">
        <f t="shared" si="4"/>
        <v>V</v>
      </c>
      <c r="J78" s="53">
        <f t="shared" si="5"/>
        <v>0.17678359751838688</v>
      </c>
      <c r="K78" s="54">
        <f t="shared" si="6"/>
        <v>63930.94960508286</v>
      </c>
      <c r="L78" s="54">
        <f t="shared" si="7"/>
        <v>297702.99439491716</v>
      </c>
      <c r="M78" s="49">
        <f t="shared" si="8"/>
        <v>0.13976954570171654</v>
      </c>
      <c r="N78" s="50">
        <f t="shared" si="9"/>
        <v>50545.412063200005</v>
      </c>
      <c r="O78" s="50">
        <f t="shared" si="10"/>
        <v>311088.53193679999</v>
      </c>
      <c r="P78" s="51">
        <f t="shared" si="11"/>
        <v>0.37478970939741213</v>
      </c>
      <c r="Q78" s="52">
        <f t="shared" si="12"/>
        <v>135536.68078000002</v>
      </c>
      <c r="R78" s="52">
        <f t="shared" si="13"/>
        <v>226097.26321999999</v>
      </c>
      <c r="S78" s="46" t="str">
        <f t="shared" si="14"/>
        <v>LUCRO PRESUMIDO</v>
      </c>
      <c r="T78" s="45"/>
      <c r="U78" s="45"/>
      <c r="V78" s="45"/>
      <c r="W78" s="45"/>
      <c r="X78" s="45"/>
      <c r="Y78" s="45"/>
      <c r="Z78" s="45"/>
      <c r="AA78" s="45"/>
      <c r="AB78" s="45"/>
    </row>
    <row r="79" spans="1:28" ht="22.5" customHeight="1" x14ac:dyDescent="0.3">
      <c r="A79" s="46" t="s">
        <v>152</v>
      </c>
      <c r="B79" s="47">
        <v>363573</v>
      </c>
      <c r="C79" s="47">
        <v>55500</v>
      </c>
      <c r="D79" s="47">
        <v>0</v>
      </c>
      <c r="E79" s="47">
        <f t="shared" si="0"/>
        <v>0</v>
      </c>
      <c r="F79" s="47">
        <f t="shared" si="1"/>
        <v>4234898.3039999995</v>
      </c>
      <c r="G79" s="47">
        <f t="shared" si="2"/>
        <v>612720</v>
      </c>
      <c r="H79" s="48">
        <f t="shared" si="3"/>
        <v>0.14468352154318936</v>
      </c>
      <c r="I79" s="46" t="str">
        <f t="shared" si="4"/>
        <v>V</v>
      </c>
      <c r="J79" s="53">
        <f t="shared" si="5"/>
        <v>0.17748808324630783</v>
      </c>
      <c r="K79" s="54">
        <f t="shared" si="6"/>
        <v>64529.874890109873</v>
      </c>
      <c r="L79" s="54">
        <f t="shared" si="7"/>
        <v>299043.12510989013</v>
      </c>
      <c r="M79" s="49">
        <f t="shared" si="8"/>
        <v>0.13979904145797406</v>
      </c>
      <c r="N79" s="50">
        <f t="shared" si="9"/>
        <v>50827.156900000002</v>
      </c>
      <c r="O79" s="50">
        <f t="shared" si="10"/>
        <v>312745.8431</v>
      </c>
      <c r="P79" s="51">
        <f t="shared" si="11"/>
        <v>0.37509749761395927</v>
      </c>
      <c r="Q79" s="52">
        <f t="shared" si="12"/>
        <v>136375.32250000001</v>
      </c>
      <c r="R79" s="52">
        <f t="shared" si="13"/>
        <v>227197.67749999999</v>
      </c>
      <c r="S79" s="46" t="str">
        <f t="shared" si="14"/>
        <v>LUCRO PRESUMIDO</v>
      </c>
      <c r="T79" s="45"/>
      <c r="U79" s="45"/>
      <c r="V79" s="45"/>
      <c r="W79" s="45"/>
      <c r="X79" s="45"/>
      <c r="Y79" s="45"/>
      <c r="Z79" s="45"/>
      <c r="AA79" s="45"/>
      <c r="AB79" s="45"/>
    </row>
    <row r="80" spans="1:28" ht="22.5" customHeight="1" x14ac:dyDescent="0.3">
      <c r="A80" s="46" t="s">
        <v>153</v>
      </c>
      <c r="B80" s="47">
        <v>365512.05599999998</v>
      </c>
      <c r="C80" s="47">
        <v>55500</v>
      </c>
      <c r="D80" s="47">
        <v>0</v>
      </c>
      <c r="E80" s="47">
        <f t="shared" si="0"/>
        <v>0</v>
      </c>
      <c r="F80" s="47">
        <f t="shared" si="1"/>
        <v>4258166.9759999998</v>
      </c>
      <c r="G80" s="47">
        <f t="shared" si="2"/>
        <v>621600</v>
      </c>
      <c r="H80" s="48">
        <f t="shared" si="3"/>
        <v>0.14597830557220498</v>
      </c>
      <c r="I80" s="46" t="str">
        <f t="shared" si="4"/>
        <v>V</v>
      </c>
      <c r="J80" s="53">
        <f t="shared" si="5"/>
        <v>0.17818486967665592</v>
      </c>
      <c r="K80" s="54">
        <f t="shared" si="6"/>
        <v>65128.71806360656</v>
      </c>
      <c r="L80" s="54">
        <f t="shared" si="7"/>
        <v>300383.33793639345</v>
      </c>
      <c r="M80" s="49">
        <f t="shared" si="8"/>
        <v>0.13982822426191052</v>
      </c>
      <c r="N80" s="50">
        <f t="shared" si="9"/>
        <v>51108.901736799991</v>
      </c>
      <c r="O80" s="50">
        <f t="shared" si="10"/>
        <v>314403.15426320001</v>
      </c>
      <c r="P80" s="51">
        <f t="shared" si="11"/>
        <v>0.37540202017303637</v>
      </c>
      <c r="Q80" s="52">
        <f t="shared" si="12"/>
        <v>137213.96421999999</v>
      </c>
      <c r="R80" s="52">
        <f t="shared" si="13"/>
        <v>228298.09177999999</v>
      </c>
      <c r="S80" s="46" t="str">
        <f t="shared" si="14"/>
        <v>LUCRO PRESUMIDO</v>
      </c>
      <c r="T80" s="45"/>
      <c r="U80" s="45"/>
      <c r="V80" s="45"/>
      <c r="W80" s="45"/>
      <c r="X80" s="45"/>
      <c r="Y80" s="45"/>
      <c r="Z80" s="45"/>
      <c r="AA80" s="45"/>
      <c r="AB80" s="45"/>
    </row>
    <row r="81" spans="1:28" ht="22.5" customHeight="1" x14ac:dyDescent="0.3">
      <c r="A81" s="46" t="s">
        <v>154</v>
      </c>
      <c r="B81" s="47">
        <v>367451.11200000002</v>
      </c>
      <c r="C81" s="47">
        <v>55500</v>
      </c>
      <c r="D81" s="47">
        <v>0</v>
      </c>
      <c r="E81" s="47">
        <f t="shared" si="0"/>
        <v>0</v>
      </c>
      <c r="F81" s="47">
        <f t="shared" si="1"/>
        <v>4281435.6479999991</v>
      </c>
      <c r="G81" s="47">
        <f t="shared" si="2"/>
        <v>630480</v>
      </c>
      <c r="H81" s="48">
        <f t="shared" si="3"/>
        <v>0.14725901586177481</v>
      </c>
      <c r="I81" s="46" t="str">
        <f t="shared" si="4"/>
        <v>V</v>
      </c>
      <c r="J81" s="53">
        <f t="shared" si="5"/>
        <v>0.17887408234145666</v>
      </c>
      <c r="K81" s="54">
        <f t="shared" si="6"/>
        <v>65727.480464347813</v>
      </c>
      <c r="L81" s="54">
        <f t="shared" si="7"/>
        <v>301723.63153565221</v>
      </c>
      <c r="M81" s="49">
        <f t="shared" si="8"/>
        <v>0.13985709906791627</v>
      </c>
      <c r="N81" s="50">
        <f t="shared" si="9"/>
        <v>51390.646573600003</v>
      </c>
      <c r="O81" s="50">
        <f t="shared" si="10"/>
        <v>316060.46542640001</v>
      </c>
      <c r="P81" s="51">
        <f t="shared" si="11"/>
        <v>0.37570332877370638</v>
      </c>
      <c r="Q81" s="52">
        <f t="shared" si="12"/>
        <v>138052.60594000001</v>
      </c>
      <c r="R81" s="52">
        <f t="shared" si="13"/>
        <v>229398.50606000001</v>
      </c>
      <c r="S81" s="46" t="str">
        <f t="shared" si="14"/>
        <v>LUCRO PRESUMIDO</v>
      </c>
      <c r="T81" s="45"/>
      <c r="U81" s="45"/>
      <c r="V81" s="45"/>
      <c r="W81" s="45"/>
      <c r="X81" s="45"/>
      <c r="Y81" s="45"/>
      <c r="Z81" s="45"/>
      <c r="AA81" s="45"/>
      <c r="AB81" s="45"/>
    </row>
    <row r="82" spans="1:28" ht="22.5" customHeight="1" x14ac:dyDescent="0.3">
      <c r="A82" s="46" t="s">
        <v>155</v>
      </c>
      <c r="B82" s="47">
        <v>369390.16800000001</v>
      </c>
      <c r="C82" s="47">
        <v>55500</v>
      </c>
      <c r="D82" s="47">
        <v>0</v>
      </c>
      <c r="E82" s="47">
        <f t="shared" si="0"/>
        <v>0</v>
      </c>
      <c r="F82" s="47">
        <f t="shared" si="1"/>
        <v>4304704.32</v>
      </c>
      <c r="G82" s="47">
        <f t="shared" si="2"/>
        <v>639360</v>
      </c>
      <c r="H82" s="48">
        <f t="shared" si="3"/>
        <v>0.1485258806347006</v>
      </c>
      <c r="I82" s="46" t="str">
        <f t="shared" si="4"/>
        <v>V</v>
      </c>
      <c r="J82" s="53">
        <f t="shared" si="5"/>
        <v>0.17955584405852987</v>
      </c>
      <c r="K82" s="54">
        <f t="shared" si="6"/>
        <v>66326.163402162158</v>
      </c>
      <c r="L82" s="54">
        <f t="shared" si="7"/>
        <v>303064.00459783786</v>
      </c>
      <c r="M82" s="49">
        <f t="shared" si="8"/>
        <v>0.13988567072635241</v>
      </c>
      <c r="N82" s="50">
        <f t="shared" si="9"/>
        <v>51672.3914104</v>
      </c>
      <c r="O82" s="50">
        <f t="shared" si="10"/>
        <v>317717.77658960002</v>
      </c>
      <c r="P82" s="51">
        <f t="shared" si="11"/>
        <v>0.37600147402948741</v>
      </c>
      <c r="Q82" s="52">
        <f t="shared" si="12"/>
        <v>138891.24765999999</v>
      </c>
      <c r="R82" s="52">
        <f t="shared" si="13"/>
        <v>230498.92034000001</v>
      </c>
      <c r="S82" s="46" t="str">
        <f t="shared" si="14"/>
        <v>LUCRO PRESUMIDO</v>
      </c>
      <c r="T82" s="45"/>
      <c r="U82" s="45"/>
      <c r="V82" s="45"/>
      <c r="W82" s="45"/>
      <c r="X82" s="45"/>
      <c r="Y82" s="45"/>
      <c r="Z82" s="45"/>
      <c r="AA82" s="45"/>
      <c r="AB82" s="45"/>
    </row>
    <row r="83" spans="1:28" ht="22.5" customHeight="1" x14ac:dyDescent="0.3">
      <c r="A83" s="46" t="s">
        <v>156</v>
      </c>
      <c r="B83" s="47">
        <v>371329.22399999999</v>
      </c>
      <c r="C83" s="47">
        <v>55500</v>
      </c>
      <c r="D83" s="47">
        <v>0</v>
      </c>
      <c r="E83" s="47">
        <f t="shared" si="0"/>
        <v>0</v>
      </c>
      <c r="F83" s="47">
        <f t="shared" si="1"/>
        <v>4327972.9920000006</v>
      </c>
      <c r="G83" s="47">
        <f t="shared" si="2"/>
        <v>648240</v>
      </c>
      <c r="H83" s="48">
        <f t="shared" si="3"/>
        <v>0.14977912320576697</v>
      </c>
      <c r="I83" s="46" t="str">
        <f t="shared" si="4"/>
        <v>V</v>
      </c>
      <c r="J83" s="53">
        <f t="shared" si="5"/>
        <v>0.1802302750044518</v>
      </c>
      <c r="K83" s="54">
        <f t="shared" si="6"/>
        <v>66924.768158709674</v>
      </c>
      <c r="L83" s="54">
        <f t="shared" si="7"/>
        <v>304404.4558412903</v>
      </c>
      <c r="M83" s="49">
        <f t="shared" si="8"/>
        <v>0.13991394398626703</v>
      </c>
      <c r="N83" s="50">
        <f t="shared" si="9"/>
        <v>51954.136247199996</v>
      </c>
      <c r="O83" s="50">
        <f t="shared" si="10"/>
        <v>319375.08775279997</v>
      </c>
      <c r="P83" s="51">
        <f t="shared" si="11"/>
        <v>0.37629650549669641</v>
      </c>
      <c r="Q83" s="52">
        <f t="shared" si="12"/>
        <v>139729.88938000001</v>
      </c>
      <c r="R83" s="52">
        <f t="shared" si="13"/>
        <v>231599.33461999998</v>
      </c>
      <c r="S83" s="46" t="str">
        <f t="shared" si="14"/>
        <v>LUCRO PRESUMIDO</v>
      </c>
      <c r="T83" s="45"/>
      <c r="U83" s="45"/>
      <c r="V83" s="45"/>
      <c r="W83" s="45"/>
      <c r="X83" s="45"/>
      <c r="Y83" s="45"/>
      <c r="Z83" s="45"/>
      <c r="AA83" s="45"/>
      <c r="AB83" s="45"/>
    </row>
    <row r="84" spans="1:28" ht="22.5" customHeight="1" x14ac:dyDescent="0.3">
      <c r="A84" s="46" t="s">
        <v>157</v>
      </c>
      <c r="B84" s="47">
        <v>373268.28</v>
      </c>
      <c r="C84" s="47">
        <v>55500</v>
      </c>
      <c r="D84" s="47">
        <v>0</v>
      </c>
      <c r="E84" s="47">
        <f t="shared" si="0"/>
        <v>0</v>
      </c>
      <c r="F84" s="47">
        <f t="shared" si="1"/>
        <v>4351241.6639999999</v>
      </c>
      <c r="G84" s="47">
        <f t="shared" si="2"/>
        <v>657120</v>
      </c>
      <c r="H84" s="48">
        <f t="shared" si="3"/>
        <v>0.15101896211297172</v>
      </c>
      <c r="I84" s="46" t="str">
        <f t="shared" si="4"/>
        <v>V</v>
      </c>
      <c r="J84" s="53">
        <f t="shared" si="5"/>
        <v>0.18089749278517664</v>
      </c>
      <c r="K84" s="54">
        <f t="shared" si="6"/>
        <v>67523.295988235303</v>
      </c>
      <c r="L84" s="54">
        <f t="shared" si="7"/>
        <v>305744.98401176475</v>
      </c>
      <c r="M84" s="49">
        <f t="shared" si="8"/>
        <v>0.13994192349802667</v>
      </c>
      <c r="N84" s="50">
        <f t="shared" si="9"/>
        <v>52235.881084000008</v>
      </c>
      <c r="O84" s="50">
        <f t="shared" si="10"/>
        <v>321032.39891600003</v>
      </c>
      <c r="P84" s="51">
        <f t="shared" si="11"/>
        <v>0.3765884717019084</v>
      </c>
      <c r="Q84" s="52">
        <f t="shared" si="12"/>
        <v>140568.53110000002</v>
      </c>
      <c r="R84" s="52">
        <f t="shared" si="13"/>
        <v>232699.74890000001</v>
      </c>
      <c r="S84" s="46" t="str">
        <f t="shared" si="14"/>
        <v>LUCRO PRESUMIDO</v>
      </c>
      <c r="T84" s="45"/>
      <c r="U84" s="45"/>
      <c r="V84" s="45"/>
      <c r="W84" s="45"/>
      <c r="X84" s="45"/>
      <c r="Y84" s="45"/>
      <c r="Z84" s="45"/>
      <c r="AA84" s="45"/>
      <c r="AB84" s="45"/>
    </row>
    <row r="85" spans="1:28" ht="22.5" customHeight="1" x14ac:dyDescent="0.3">
      <c r="A85" s="46" t="s">
        <v>158</v>
      </c>
      <c r="B85" s="47">
        <v>375207.33600000001</v>
      </c>
      <c r="C85" s="47">
        <v>55500</v>
      </c>
      <c r="D85" s="47">
        <v>0</v>
      </c>
      <c r="E85" s="47">
        <f t="shared" si="0"/>
        <v>0</v>
      </c>
      <c r="F85" s="47">
        <f t="shared" si="1"/>
        <v>4374510.3360000001</v>
      </c>
      <c r="G85" s="47">
        <f t="shared" si="2"/>
        <v>666000</v>
      </c>
      <c r="H85" s="48">
        <f t="shared" si="3"/>
        <v>0.15224561124456787</v>
      </c>
      <c r="I85" s="46" t="str">
        <f t="shared" si="4"/>
        <v>V</v>
      </c>
      <c r="J85" s="53">
        <f t="shared" si="5"/>
        <v>0.18155761250440441</v>
      </c>
      <c r="K85" s="54">
        <f t="shared" si="6"/>
        <v>68121.748118297866</v>
      </c>
      <c r="L85" s="54">
        <f t="shared" si="7"/>
        <v>307085.58788170211</v>
      </c>
      <c r="M85" s="49">
        <f t="shared" si="8"/>
        <v>0.13996961381586634</v>
      </c>
      <c r="N85" s="50">
        <f t="shared" si="9"/>
        <v>52517.625920800005</v>
      </c>
      <c r="O85" s="50">
        <f t="shared" si="10"/>
        <v>322689.71007919998</v>
      </c>
      <c r="P85" s="51">
        <f t="shared" si="11"/>
        <v>0.37687742016856518</v>
      </c>
      <c r="Q85" s="52">
        <f t="shared" si="12"/>
        <v>141407.17282000001</v>
      </c>
      <c r="R85" s="52">
        <f t="shared" si="13"/>
        <v>233800.16318</v>
      </c>
      <c r="S85" s="46" t="str">
        <f t="shared" si="14"/>
        <v>LUCRO PRESUMIDO</v>
      </c>
      <c r="T85" s="45"/>
      <c r="U85" s="45"/>
      <c r="V85" s="45"/>
      <c r="W85" s="45"/>
      <c r="X85" s="45"/>
      <c r="Y85" s="45"/>
      <c r="Z85" s="45"/>
      <c r="AA85" s="45"/>
      <c r="AB85" s="45"/>
    </row>
    <row r="86" spans="1:28" ht="14.4" x14ac:dyDescent="0.3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55"/>
      <c r="N86" s="45"/>
      <c r="O86" s="45"/>
      <c r="P86" s="5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 spans="1:28" ht="14.4" x14ac:dyDescent="0.3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55"/>
      <c r="N87" s="45"/>
      <c r="O87" s="45"/>
      <c r="P87" s="5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 spans="1:28" ht="14.4" x14ac:dyDescent="0.3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55"/>
      <c r="N88" s="45"/>
      <c r="O88" s="45"/>
      <c r="P88" s="5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 spans="1:28" ht="14.4" x14ac:dyDescent="0.3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55"/>
      <c r="N89" s="45"/>
      <c r="O89" s="45"/>
      <c r="P89" s="5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 spans="1:28" ht="14.4" x14ac:dyDescent="0.3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55"/>
      <c r="N90" s="45"/>
      <c r="O90" s="45"/>
      <c r="P90" s="5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 spans="1:28" ht="14.4" x14ac:dyDescent="0.3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55"/>
      <c r="N91" s="45"/>
      <c r="O91" s="45"/>
      <c r="P91" s="5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 spans="1:28" ht="14.4" x14ac:dyDescent="0.3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55"/>
      <c r="N92" s="45"/>
      <c r="O92" s="45"/>
      <c r="P92" s="5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 spans="1:28" ht="14.4" x14ac:dyDescent="0.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55"/>
      <c r="N93" s="45"/>
      <c r="O93" s="45"/>
      <c r="P93" s="5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 spans="1:28" ht="14.4" x14ac:dyDescent="0.3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55"/>
      <c r="N94" s="45"/>
      <c r="O94" s="45"/>
      <c r="P94" s="5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 spans="1:28" ht="14.4" x14ac:dyDescent="0.3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55"/>
      <c r="N95" s="45"/>
      <c r="O95" s="45"/>
      <c r="P95" s="5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 spans="1:28" ht="14.4" x14ac:dyDescent="0.3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55"/>
      <c r="N96" s="45"/>
      <c r="O96" s="45"/>
      <c r="P96" s="5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 spans="1:28" ht="14.4" x14ac:dyDescent="0.3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55"/>
      <c r="N97" s="45"/>
      <c r="O97" s="45"/>
      <c r="P97" s="5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 spans="1:28" ht="14.4" x14ac:dyDescent="0.3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55"/>
      <c r="N98" s="45"/>
      <c r="O98" s="45"/>
      <c r="P98" s="5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 spans="1:28" ht="14.4" x14ac:dyDescent="0.3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55"/>
      <c r="N99" s="45"/>
      <c r="O99" s="45"/>
      <c r="P99" s="5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 spans="1:28" ht="14.4" x14ac:dyDescent="0.3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55"/>
      <c r="N100" s="45"/>
      <c r="O100" s="45"/>
      <c r="P100" s="5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 spans="1:28" ht="14.4" x14ac:dyDescent="0.3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55"/>
      <c r="N101" s="45"/>
      <c r="O101" s="45"/>
      <c r="P101" s="5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 spans="1:28" ht="14.4" x14ac:dyDescent="0.3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55"/>
      <c r="N102" s="45"/>
      <c r="O102" s="45"/>
      <c r="P102" s="5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 spans="1:28" ht="14.4" x14ac:dyDescent="0.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55"/>
      <c r="N103" s="45"/>
      <c r="O103" s="45"/>
      <c r="P103" s="5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 spans="1:28" ht="14.4" x14ac:dyDescent="0.3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55"/>
      <c r="N104" s="45"/>
      <c r="O104" s="45"/>
      <c r="P104" s="5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 spans="1:28" ht="14.4" x14ac:dyDescent="0.3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55"/>
      <c r="N105" s="45"/>
      <c r="O105" s="45"/>
      <c r="P105" s="5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 spans="1:28" ht="14.4" x14ac:dyDescent="0.3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55"/>
      <c r="N106" s="45"/>
      <c r="O106" s="45"/>
      <c r="P106" s="5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 spans="1:28" ht="14.4" x14ac:dyDescent="0.3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55"/>
      <c r="N107" s="45"/>
      <c r="O107" s="45"/>
      <c r="P107" s="5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 spans="1:28" ht="14.4" x14ac:dyDescent="0.3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55"/>
      <c r="N108" s="45"/>
      <c r="O108" s="45"/>
      <c r="P108" s="5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 spans="1:28" ht="14.4" x14ac:dyDescent="0.3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55"/>
      <c r="N109" s="45"/>
      <c r="O109" s="45"/>
      <c r="P109" s="5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 spans="1:28" ht="14.4" x14ac:dyDescent="0.3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55"/>
      <c r="N110" s="45"/>
      <c r="O110" s="45"/>
      <c r="P110" s="5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 spans="1:28" ht="14.4" x14ac:dyDescent="0.3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55"/>
      <c r="N111" s="45"/>
      <c r="O111" s="45"/>
      <c r="P111" s="5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 spans="1:28" ht="14.4" x14ac:dyDescent="0.3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55"/>
      <c r="N112" s="45"/>
      <c r="O112" s="45"/>
      <c r="P112" s="5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 spans="1:28" ht="14.4" x14ac:dyDescent="0.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55"/>
      <c r="N113" s="45"/>
      <c r="O113" s="45"/>
      <c r="P113" s="5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 spans="1:28" ht="14.4" x14ac:dyDescent="0.3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55"/>
      <c r="N114" s="45"/>
      <c r="O114" s="45"/>
      <c r="P114" s="5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 spans="1:28" ht="14.4" x14ac:dyDescent="0.3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55"/>
      <c r="N115" s="45"/>
      <c r="O115" s="45"/>
      <c r="P115" s="5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 spans="1:28" ht="14.4" x14ac:dyDescent="0.3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55"/>
      <c r="N116" s="45"/>
      <c r="O116" s="45"/>
      <c r="P116" s="5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 spans="1:28" ht="14.4" x14ac:dyDescent="0.3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55"/>
      <c r="N117" s="45"/>
      <c r="O117" s="45"/>
      <c r="P117" s="5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 spans="1:28" ht="14.4" x14ac:dyDescent="0.3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55"/>
      <c r="N118" s="45"/>
      <c r="O118" s="45"/>
      <c r="P118" s="5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 spans="1:28" ht="14.4" x14ac:dyDescent="0.3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55"/>
      <c r="N119" s="45"/>
      <c r="O119" s="45"/>
      <c r="P119" s="5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 spans="1:28" ht="14.4" x14ac:dyDescent="0.3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55"/>
      <c r="N120" s="45"/>
      <c r="O120" s="45"/>
      <c r="P120" s="5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 spans="1:28" ht="14.4" x14ac:dyDescent="0.3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55"/>
      <c r="N121" s="45"/>
      <c r="O121" s="45"/>
      <c r="P121" s="5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 spans="1:28" ht="14.4" x14ac:dyDescent="0.3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55"/>
      <c r="N122" s="45"/>
      <c r="O122" s="45"/>
      <c r="P122" s="5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 spans="1:28" ht="14.4" x14ac:dyDescent="0.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55"/>
      <c r="N123" s="45"/>
      <c r="O123" s="45"/>
      <c r="P123" s="5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 spans="1:28" ht="14.4" x14ac:dyDescent="0.3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55"/>
      <c r="N124" s="45"/>
      <c r="O124" s="45"/>
      <c r="P124" s="5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 spans="1:28" ht="14.4" x14ac:dyDescent="0.3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55"/>
      <c r="N125" s="45"/>
      <c r="O125" s="45"/>
      <c r="P125" s="5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 spans="1:28" ht="14.4" x14ac:dyDescent="0.3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55"/>
      <c r="N126" s="45"/>
      <c r="O126" s="45"/>
      <c r="P126" s="5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 spans="1:28" ht="14.4" x14ac:dyDescent="0.3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55"/>
      <c r="N127" s="45"/>
      <c r="O127" s="45"/>
      <c r="P127" s="5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 spans="1:28" ht="14.4" x14ac:dyDescent="0.3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55"/>
      <c r="N128" s="45"/>
      <c r="O128" s="45"/>
      <c r="P128" s="5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 spans="1:28" ht="14.4" x14ac:dyDescent="0.3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55"/>
      <c r="N129" s="45"/>
      <c r="O129" s="45"/>
      <c r="P129" s="5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 spans="1:28" ht="14.4" x14ac:dyDescent="0.3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55"/>
      <c r="N130" s="45"/>
      <c r="O130" s="45"/>
      <c r="P130" s="5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 spans="1:28" ht="14.4" x14ac:dyDescent="0.3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55"/>
      <c r="N131" s="45"/>
      <c r="O131" s="45"/>
      <c r="P131" s="5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 spans="1:28" ht="14.4" x14ac:dyDescent="0.3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55"/>
      <c r="N132" s="45"/>
      <c r="O132" s="45"/>
      <c r="P132" s="5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 spans="1:28" ht="14.4" x14ac:dyDescent="0.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55"/>
      <c r="N133" s="45"/>
      <c r="O133" s="45"/>
      <c r="P133" s="5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 spans="1:28" ht="14.4" x14ac:dyDescent="0.3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55"/>
      <c r="N134" s="45"/>
      <c r="O134" s="45"/>
      <c r="P134" s="5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 spans="1:28" ht="14.4" x14ac:dyDescent="0.3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55"/>
      <c r="N135" s="45"/>
      <c r="O135" s="45"/>
      <c r="P135" s="5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 spans="1:28" ht="14.4" x14ac:dyDescent="0.3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55"/>
      <c r="N136" s="45"/>
      <c r="O136" s="45"/>
      <c r="P136" s="5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 spans="1:28" ht="14.4" x14ac:dyDescent="0.3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55"/>
      <c r="N137" s="45"/>
      <c r="O137" s="45"/>
      <c r="P137" s="5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 spans="1:28" ht="14.4" x14ac:dyDescent="0.3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55"/>
      <c r="N138" s="45"/>
      <c r="O138" s="45"/>
      <c r="P138" s="5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 spans="1:28" ht="14.4" x14ac:dyDescent="0.3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55"/>
      <c r="N139" s="45"/>
      <c r="O139" s="45"/>
      <c r="P139" s="5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 spans="1:28" ht="14.4" x14ac:dyDescent="0.3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55"/>
      <c r="N140" s="45"/>
      <c r="O140" s="45"/>
      <c r="P140" s="5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 spans="1:28" ht="14.4" x14ac:dyDescent="0.3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55"/>
      <c r="N141" s="45"/>
      <c r="O141" s="45"/>
      <c r="P141" s="5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 spans="1:28" ht="14.4" x14ac:dyDescent="0.3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55"/>
      <c r="N142" s="45"/>
      <c r="O142" s="45"/>
      <c r="P142" s="5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 spans="1:28" ht="14.4" x14ac:dyDescent="0.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55"/>
      <c r="N143" s="45"/>
      <c r="O143" s="45"/>
      <c r="P143" s="5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 spans="1:28" ht="14.4" x14ac:dyDescent="0.3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55"/>
      <c r="N144" s="45"/>
      <c r="O144" s="45"/>
      <c r="P144" s="5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 spans="1:28" ht="14.4" x14ac:dyDescent="0.3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55"/>
      <c r="N145" s="45"/>
      <c r="O145" s="45"/>
      <c r="P145" s="5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 spans="1:28" ht="14.4" x14ac:dyDescent="0.3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55"/>
      <c r="N146" s="45"/>
      <c r="O146" s="45"/>
      <c r="P146" s="5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 spans="1:28" ht="14.4" x14ac:dyDescent="0.3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55"/>
      <c r="N147" s="45"/>
      <c r="O147" s="45"/>
      <c r="P147" s="5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 spans="1:28" ht="14.4" x14ac:dyDescent="0.3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55"/>
      <c r="N148" s="45"/>
      <c r="O148" s="45"/>
      <c r="P148" s="5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 spans="1:28" ht="14.4" x14ac:dyDescent="0.3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55"/>
      <c r="N149" s="45"/>
      <c r="O149" s="45"/>
      <c r="P149" s="5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 spans="1:28" ht="14.4" x14ac:dyDescent="0.3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55"/>
      <c r="N150" s="45"/>
      <c r="O150" s="45"/>
      <c r="P150" s="5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 spans="1:28" ht="14.4" x14ac:dyDescent="0.3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55"/>
      <c r="N151" s="45"/>
      <c r="O151" s="45"/>
      <c r="P151" s="5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 spans="1:28" ht="14.4" x14ac:dyDescent="0.3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55"/>
      <c r="N152" s="45"/>
      <c r="O152" s="45"/>
      <c r="P152" s="5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 spans="1:28" ht="14.4" x14ac:dyDescent="0.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55"/>
      <c r="N153" s="45"/>
      <c r="O153" s="45"/>
      <c r="P153" s="5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 spans="1:28" ht="14.4" x14ac:dyDescent="0.3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55"/>
      <c r="N154" s="45"/>
      <c r="O154" s="45"/>
      <c r="P154" s="5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 spans="1:28" ht="14.4" x14ac:dyDescent="0.3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55"/>
      <c r="N155" s="45"/>
      <c r="O155" s="45"/>
      <c r="P155" s="5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 spans="1:28" ht="14.4" x14ac:dyDescent="0.3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55"/>
      <c r="N156" s="45"/>
      <c r="O156" s="45"/>
      <c r="P156" s="5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 spans="1:28" ht="14.4" x14ac:dyDescent="0.3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55"/>
      <c r="N157" s="45"/>
      <c r="O157" s="45"/>
      <c r="P157" s="5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 spans="1:28" ht="14.4" x14ac:dyDescent="0.3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55"/>
      <c r="N158" s="45"/>
      <c r="O158" s="45"/>
      <c r="P158" s="5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 spans="1:28" ht="14.4" x14ac:dyDescent="0.3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55"/>
      <c r="N159" s="45"/>
      <c r="O159" s="45"/>
      <c r="P159" s="5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 spans="1:28" ht="14.4" x14ac:dyDescent="0.3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55"/>
      <c r="N160" s="45"/>
      <c r="O160" s="45"/>
      <c r="P160" s="5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 spans="1:28" ht="14.4" x14ac:dyDescent="0.3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55"/>
      <c r="N161" s="45"/>
      <c r="O161" s="45"/>
      <c r="P161" s="5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 spans="1:28" ht="14.4" x14ac:dyDescent="0.3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55"/>
      <c r="N162" s="45"/>
      <c r="O162" s="45"/>
      <c r="P162" s="5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 spans="1:28" ht="14.4" x14ac:dyDescent="0.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55"/>
      <c r="N163" s="45"/>
      <c r="O163" s="45"/>
      <c r="P163" s="5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 spans="1:28" ht="14.4" x14ac:dyDescent="0.3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55"/>
      <c r="N164" s="45"/>
      <c r="O164" s="45"/>
      <c r="P164" s="5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 spans="1:28" ht="14.4" x14ac:dyDescent="0.3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55"/>
      <c r="N165" s="45"/>
      <c r="O165" s="45"/>
      <c r="P165" s="5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 spans="1:28" ht="14.4" x14ac:dyDescent="0.3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55"/>
      <c r="N166" s="45"/>
      <c r="O166" s="45"/>
      <c r="P166" s="5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 spans="1:28" ht="14.4" x14ac:dyDescent="0.3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55"/>
      <c r="N167" s="45"/>
      <c r="O167" s="45"/>
      <c r="P167" s="5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 spans="1:28" ht="14.4" x14ac:dyDescent="0.3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55"/>
      <c r="N168" s="45"/>
      <c r="O168" s="45"/>
      <c r="P168" s="5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 spans="1:28" ht="14.4" x14ac:dyDescent="0.3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55"/>
      <c r="N169" s="45"/>
      <c r="O169" s="45"/>
      <c r="P169" s="5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 spans="1:28" ht="14.4" x14ac:dyDescent="0.3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55"/>
      <c r="N170" s="45"/>
      <c r="O170" s="45"/>
      <c r="P170" s="5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 spans="1:28" ht="14.4" x14ac:dyDescent="0.3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55"/>
      <c r="N171" s="45"/>
      <c r="O171" s="45"/>
      <c r="P171" s="5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 spans="1:28" ht="14.4" x14ac:dyDescent="0.3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55"/>
      <c r="N172" s="45"/>
      <c r="O172" s="45"/>
      <c r="P172" s="5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 spans="1:28" ht="14.4" x14ac:dyDescent="0.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55"/>
      <c r="N173" s="45"/>
      <c r="O173" s="45"/>
      <c r="P173" s="5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 spans="1:28" ht="14.4" x14ac:dyDescent="0.3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55"/>
      <c r="N174" s="45"/>
      <c r="O174" s="45"/>
      <c r="P174" s="5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 spans="1:28" ht="14.4" x14ac:dyDescent="0.3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55"/>
      <c r="N175" s="45"/>
      <c r="O175" s="45"/>
      <c r="P175" s="5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 spans="1:28" ht="14.4" x14ac:dyDescent="0.3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55"/>
      <c r="N176" s="45"/>
      <c r="O176" s="45"/>
      <c r="P176" s="5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 spans="1:28" ht="14.4" x14ac:dyDescent="0.3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55"/>
      <c r="N177" s="45"/>
      <c r="O177" s="45"/>
      <c r="P177" s="5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 spans="1:28" ht="14.4" x14ac:dyDescent="0.3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55"/>
      <c r="N178" s="45"/>
      <c r="O178" s="45"/>
      <c r="P178" s="5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 spans="1:28" ht="14.4" x14ac:dyDescent="0.3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55"/>
      <c r="N179" s="45"/>
      <c r="O179" s="45"/>
      <c r="P179" s="5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 spans="1:28" ht="14.4" x14ac:dyDescent="0.3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55"/>
      <c r="N180" s="45"/>
      <c r="O180" s="45"/>
      <c r="P180" s="5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 spans="1:28" ht="14.4" x14ac:dyDescent="0.3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55"/>
      <c r="N181" s="45"/>
      <c r="O181" s="45"/>
      <c r="P181" s="5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 spans="1:28" ht="14.4" x14ac:dyDescent="0.3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55"/>
      <c r="N182" s="45"/>
      <c r="O182" s="45"/>
      <c r="P182" s="5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 spans="1:28" ht="14.4" x14ac:dyDescent="0.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55"/>
      <c r="N183" s="45"/>
      <c r="O183" s="45"/>
      <c r="P183" s="5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 spans="1:28" ht="14.4" x14ac:dyDescent="0.3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55"/>
      <c r="N184" s="45"/>
      <c r="O184" s="45"/>
      <c r="P184" s="5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 spans="1:28" ht="14.4" x14ac:dyDescent="0.3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55"/>
      <c r="N185" s="45"/>
      <c r="O185" s="45"/>
      <c r="P185" s="5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 spans="1:28" ht="14.4" x14ac:dyDescent="0.3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55"/>
      <c r="N186" s="45"/>
      <c r="O186" s="45"/>
      <c r="P186" s="5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 spans="1:28" ht="14.4" x14ac:dyDescent="0.3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55"/>
      <c r="N187" s="45"/>
      <c r="O187" s="45"/>
      <c r="P187" s="5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 spans="1:28" ht="14.4" x14ac:dyDescent="0.3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55"/>
      <c r="N188" s="45"/>
      <c r="O188" s="45"/>
      <c r="P188" s="5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 spans="1:28" ht="14.4" x14ac:dyDescent="0.3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55"/>
      <c r="N189" s="45"/>
      <c r="O189" s="45"/>
      <c r="P189" s="5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 spans="1:28" ht="14.4" x14ac:dyDescent="0.3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55"/>
      <c r="N190" s="45"/>
      <c r="O190" s="45"/>
      <c r="P190" s="5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 spans="1:28" ht="14.4" x14ac:dyDescent="0.3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55"/>
      <c r="N191" s="45"/>
      <c r="O191" s="45"/>
      <c r="P191" s="5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 spans="1:28" ht="14.4" x14ac:dyDescent="0.3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55"/>
      <c r="N192" s="45"/>
      <c r="O192" s="45"/>
      <c r="P192" s="5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 spans="1:28" ht="14.4" x14ac:dyDescent="0.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55"/>
      <c r="N193" s="45"/>
      <c r="O193" s="45"/>
      <c r="P193" s="5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 spans="1:28" ht="14.4" x14ac:dyDescent="0.3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55"/>
      <c r="N194" s="45"/>
      <c r="O194" s="45"/>
      <c r="P194" s="5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 spans="1:28" ht="14.4" x14ac:dyDescent="0.3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55"/>
      <c r="N195" s="45"/>
      <c r="O195" s="45"/>
      <c r="P195" s="5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 spans="1:28" ht="14.4" x14ac:dyDescent="0.3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55"/>
      <c r="N196" s="45"/>
      <c r="O196" s="45"/>
      <c r="P196" s="5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 spans="1:28" ht="14.4" x14ac:dyDescent="0.3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55"/>
      <c r="N197" s="45"/>
      <c r="O197" s="45"/>
      <c r="P197" s="5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 spans="1:28" ht="14.4" x14ac:dyDescent="0.3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55"/>
      <c r="N198" s="45"/>
      <c r="O198" s="45"/>
      <c r="P198" s="5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 spans="1:28" ht="14.4" x14ac:dyDescent="0.3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55"/>
      <c r="N199" s="45"/>
      <c r="O199" s="45"/>
      <c r="P199" s="5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 spans="1:28" ht="14.4" x14ac:dyDescent="0.3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55"/>
      <c r="N200" s="45"/>
      <c r="O200" s="45"/>
      <c r="P200" s="5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 spans="1:28" ht="14.4" x14ac:dyDescent="0.3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55"/>
      <c r="N201" s="45"/>
      <c r="O201" s="45"/>
      <c r="P201" s="5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 spans="1:28" ht="14.4" x14ac:dyDescent="0.3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55"/>
      <c r="N202" s="45"/>
      <c r="O202" s="45"/>
      <c r="P202" s="5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 spans="1:28" ht="14.4" x14ac:dyDescent="0.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55"/>
      <c r="N203" s="45"/>
      <c r="O203" s="45"/>
      <c r="P203" s="5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 spans="1:28" ht="14.4" x14ac:dyDescent="0.3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55"/>
      <c r="N204" s="45"/>
      <c r="O204" s="45"/>
      <c r="P204" s="5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 spans="1:28" ht="14.4" x14ac:dyDescent="0.3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55"/>
      <c r="N205" s="45"/>
      <c r="O205" s="45"/>
      <c r="P205" s="5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 spans="1:28" ht="14.4" x14ac:dyDescent="0.3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55"/>
      <c r="N206" s="45"/>
      <c r="O206" s="45"/>
      <c r="P206" s="5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 spans="1:28" ht="14.4" x14ac:dyDescent="0.3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55"/>
      <c r="N207" s="45"/>
      <c r="O207" s="45"/>
      <c r="P207" s="5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 spans="1:28" ht="14.4" x14ac:dyDescent="0.3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55"/>
      <c r="N208" s="45"/>
      <c r="O208" s="45"/>
      <c r="P208" s="5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 spans="1:28" ht="14.4" x14ac:dyDescent="0.3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55"/>
      <c r="N209" s="45"/>
      <c r="O209" s="45"/>
      <c r="P209" s="5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 spans="1:28" ht="14.4" x14ac:dyDescent="0.3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55"/>
      <c r="N210" s="45"/>
      <c r="O210" s="45"/>
      <c r="P210" s="5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 spans="1:28" ht="14.4" x14ac:dyDescent="0.3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55"/>
      <c r="N211" s="45"/>
      <c r="O211" s="45"/>
      <c r="P211" s="5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 spans="1:28" ht="14.4" x14ac:dyDescent="0.3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55"/>
      <c r="N212" s="45"/>
      <c r="O212" s="45"/>
      <c r="P212" s="5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 spans="1:28" ht="14.4" x14ac:dyDescent="0.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55"/>
      <c r="N213" s="45"/>
      <c r="O213" s="45"/>
      <c r="P213" s="5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 spans="1:28" ht="14.4" x14ac:dyDescent="0.3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55"/>
      <c r="N214" s="45"/>
      <c r="O214" s="45"/>
      <c r="P214" s="5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 spans="1:28" ht="14.4" x14ac:dyDescent="0.3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55"/>
      <c r="N215" s="45"/>
      <c r="O215" s="45"/>
      <c r="P215" s="5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 spans="1:28" ht="14.4" x14ac:dyDescent="0.3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55"/>
      <c r="N216" s="45"/>
      <c r="O216" s="45"/>
      <c r="P216" s="5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 spans="1:28" ht="14.4" x14ac:dyDescent="0.3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55"/>
      <c r="N217" s="45"/>
      <c r="O217" s="45"/>
      <c r="P217" s="5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 spans="1:28" ht="14.4" x14ac:dyDescent="0.3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55"/>
      <c r="N218" s="45"/>
      <c r="O218" s="45"/>
      <c r="P218" s="5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 spans="1:28" ht="14.4" x14ac:dyDescent="0.3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55"/>
      <c r="N219" s="45"/>
      <c r="O219" s="45"/>
      <c r="P219" s="5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 spans="1:28" ht="14.4" x14ac:dyDescent="0.3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55"/>
      <c r="N220" s="45"/>
      <c r="O220" s="45"/>
      <c r="P220" s="5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 spans="1:28" ht="14.4" x14ac:dyDescent="0.3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55"/>
      <c r="N221" s="45"/>
      <c r="O221" s="45"/>
      <c r="P221" s="5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 spans="1:28" ht="14.4" x14ac:dyDescent="0.3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55"/>
      <c r="N222" s="45"/>
      <c r="O222" s="45"/>
      <c r="P222" s="5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 spans="1:28" ht="14.4" x14ac:dyDescent="0.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55"/>
      <c r="N223" s="45"/>
      <c r="O223" s="45"/>
      <c r="P223" s="5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 spans="1:28" ht="14.4" x14ac:dyDescent="0.3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55"/>
      <c r="N224" s="45"/>
      <c r="O224" s="45"/>
      <c r="P224" s="5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 spans="1:28" ht="14.4" x14ac:dyDescent="0.3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55"/>
      <c r="N225" s="45"/>
      <c r="O225" s="45"/>
      <c r="P225" s="5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 spans="1:28" ht="14.4" x14ac:dyDescent="0.3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55"/>
      <c r="N226" s="45"/>
      <c r="O226" s="45"/>
      <c r="P226" s="5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 spans="1:28" ht="14.4" x14ac:dyDescent="0.3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55"/>
      <c r="N227" s="45"/>
      <c r="O227" s="45"/>
      <c r="P227" s="5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 spans="1:28" ht="14.4" x14ac:dyDescent="0.3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55"/>
      <c r="N228" s="45"/>
      <c r="O228" s="45"/>
      <c r="P228" s="5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 spans="1:28" ht="14.4" x14ac:dyDescent="0.3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55"/>
      <c r="N229" s="45"/>
      <c r="O229" s="45"/>
      <c r="P229" s="5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 spans="1:28" ht="14.4" x14ac:dyDescent="0.3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55"/>
      <c r="N230" s="45"/>
      <c r="O230" s="45"/>
      <c r="P230" s="5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 spans="1:28" ht="14.4" x14ac:dyDescent="0.3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55"/>
      <c r="N231" s="45"/>
      <c r="O231" s="45"/>
      <c r="P231" s="5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 spans="1:28" ht="14.4" x14ac:dyDescent="0.3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55"/>
      <c r="N232" s="45"/>
      <c r="O232" s="45"/>
      <c r="P232" s="5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 spans="1:28" ht="14.4" x14ac:dyDescent="0.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55"/>
      <c r="N233" s="45"/>
      <c r="O233" s="45"/>
      <c r="P233" s="5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 spans="1:28" ht="14.4" x14ac:dyDescent="0.3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55"/>
      <c r="N234" s="45"/>
      <c r="O234" s="45"/>
      <c r="P234" s="5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 spans="1:28" ht="14.4" x14ac:dyDescent="0.3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55"/>
      <c r="N235" s="45"/>
      <c r="O235" s="45"/>
      <c r="P235" s="5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 spans="1:28" ht="14.4" x14ac:dyDescent="0.3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55"/>
      <c r="N236" s="45"/>
      <c r="O236" s="45"/>
      <c r="P236" s="5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 spans="1:28" ht="14.4" x14ac:dyDescent="0.3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55"/>
      <c r="N237" s="45"/>
      <c r="O237" s="45"/>
      <c r="P237" s="5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 spans="1:28" ht="14.4" x14ac:dyDescent="0.3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55"/>
      <c r="N238" s="45"/>
      <c r="O238" s="45"/>
      <c r="P238" s="5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 spans="1:28" ht="14.4" x14ac:dyDescent="0.3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55"/>
      <c r="N239" s="45"/>
      <c r="O239" s="45"/>
      <c r="P239" s="5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 spans="1:28" ht="14.4" x14ac:dyDescent="0.3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55"/>
      <c r="N240" s="45"/>
      <c r="O240" s="45"/>
      <c r="P240" s="5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 spans="1:28" ht="14.4" x14ac:dyDescent="0.3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55"/>
      <c r="N241" s="45"/>
      <c r="O241" s="45"/>
      <c r="P241" s="5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 spans="1:28" ht="14.4" x14ac:dyDescent="0.3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55"/>
      <c r="N242" s="45"/>
      <c r="O242" s="45"/>
      <c r="P242" s="5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 spans="1:28" ht="14.4" x14ac:dyDescent="0.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55"/>
      <c r="N243" s="45"/>
      <c r="O243" s="45"/>
      <c r="P243" s="5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 spans="1:28" ht="14.4" x14ac:dyDescent="0.3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55"/>
      <c r="N244" s="45"/>
      <c r="O244" s="45"/>
      <c r="P244" s="5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 spans="1:28" ht="14.4" x14ac:dyDescent="0.3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55"/>
      <c r="N245" s="45"/>
      <c r="O245" s="45"/>
      <c r="P245" s="5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 spans="1:28" ht="14.4" x14ac:dyDescent="0.3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55"/>
      <c r="N246" s="45"/>
      <c r="O246" s="45"/>
      <c r="P246" s="5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 spans="1:28" ht="14.4" x14ac:dyDescent="0.3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55"/>
      <c r="N247" s="45"/>
      <c r="O247" s="45"/>
      <c r="P247" s="5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 spans="1:28" ht="14.4" x14ac:dyDescent="0.3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55"/>
      <c r="N248" s="45"/>
      <c r="O248" s="45"/>
      <c r="P248" s="5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 spans="1:28" ht="14.4" x14ac:dyDescent="0.3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55"/>
      <c r="N249" s="45"/>
      <c r="O249" s="45"/>
      <c r="P249" s="5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 spans="1:28" ht="14.4" x14ac:dyDescent="0.3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55"/>
      <c r="N250" s="45"/>
      <c r="O250" s="45"/>
      <c r="P250" s="5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 spans="1:28" ht="14.4" x14ac:dyDescent="0.3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55"/>
      <c r="N251" s="45"/>
      <c r="O251" s="45"/>
      <c r="P251" s="5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 spans="1:28" ht="14.4" x14ac:dyDescent="0.3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55"/>
      <c r="N252" s="45"/>
      <c r="O252" s="45"/>
      <c r="P252" s="5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 spans="1:28" ht="14.4" x14ac:dyDescent="0.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55"/>
      <c r="N253" s="45"/>
      <c r="O253" s="45"/>
      <c r="P253" s="5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 spans="1:28" ht="14.4" x14ac:dyDescent="0.3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55"/>
      <c r="N254" s="45"/>
      <c r="O254" s="45"/>
      <c r="P254" s="5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 spans="1:28" ht="14.4" x14ac:dyDescent="0.3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55"/>
      <c r="N255" s="45"/>
      <c r="O255" s="45"/>
      <c r="P255" s="5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 spans="1:28" ht="14.4" x14ac:dyDescent="0.3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55"/>
      <c r="N256" s="45"/>
      <c r="O256" s="45"/>
      <c r="P256" s="5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 spans="1:28" ht="14.4" x14ac:dyDescent="0.3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55"/>
      <c r="N257" s="45"/>
      <c r="O257" s="45"/>
      <c r="P257" s="5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 spans="1:28" ht="14.4" x14ac:dyDescent="0.3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55"/>
      <c r="N258" s="45"/>
      <c r="O258" s="45"/>
      <c r="P258" s="5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 spans="1:28" ht="14.4" x14ac:dyDescent="0.3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55"/>
      <c r="N259" s="45"/>
      <c r="O259" s="45"/>
      <c r="P259" s="5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 spans="1:28" ht="14.4" x14ac:dyDescent="0.3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55"/>
      <c r="N260" s="45"/>
      <c r="O260" s="45"/>
      <c r="P260" s="5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 spans="1:28" ht="14.4" x14ac:dyDescent="0.3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55"/>
      <c r="N261" s="45"/>
      <c r="O261" s="45"/>
      <c r="P261" s="5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 spans="1:28" ht="14.4" x14ac:dyDescent="0.3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55"/>
      <c r="N262" s="45"/>
      <c r="O262" s="45"/>
      <c r="P262" s="5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 spans="1:28" ht="14.4" x14ac:dyDescent="0.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55"/>
      <c r="N263" s="45"/>
      <c r="O263" s="45"/>
      <c r="P263" s="5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 spans="1:28" ht="14.4" x14ac:dyDescent="0.3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55"/>
      <c r="N264" s="45"/>
      <c r="O264" s="45"/>
      <c r="P264" s="5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 spans="1:28" ht="14.4" x14ac:dyDescent="0.3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55"/>
      <c r="N265" s="45"/>
      <c r="O265" s="45"/>
      <c r="P265" s="5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 spans="1:28" ht="14.4" x14ac:dyDescent="0.3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55"/>
      <c r="N266" s="45"/>
      <c r="O266" s="45"/>
      <c r="P266" s="5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 spans="1:28" ht="14.4" x14ac:dyDescent="0.3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55"/>
      <c r="N267" s="45"/>
      <c r="O267" s="45"/>
      <c r="P267" s="5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 spans="1:28" ht="14.4" x14ac:dyDescent="0.3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55"/>
      <c r="N268" s="45"/>
      <c r="O268" s="45"/>
      <c r="P268" s="5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 spans="1:28" ht="14.4" x14ac:dyDescent="0.3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55"/>
      <c r="N269" s="45"/>
      <c r="O269" s="45"/>
      <c r="P269" s="5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 spans="1:28" ht="14.4" x14ac:dyDescent="0.3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55"/>
      <c r="N270" s="45"/>
      <c r="O270" s="45"/>
      <c r="P270" s="5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 spans="1:28" ht="14.4" x14ac:dyDescent="0.3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55"/>
      <c r="N271" s="45"/>
      <c r="O271" s="45"/>
      <c r="P271" s="5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 spans="1:28" ht="14.4" x14ac:dyDescent="0.3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55"/>
      <c r="N272" s="45"/>
      <c r="O272" s="45"/>
      <c r="P272" s="5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 spans="1:28" ht="14.4" x14ac:dyDescent="0.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55"/>
      <c r="N273" s="45"/>
      <c r="O273" s="45"/>
      <c r="P273" s="5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 spans="1:28" ht="14.4" x14ac:dyDescent="0.3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55"/>
      <c r="N274" s="45"/>
      <c r="O274" s="45"/>
      <c r="P274" s="5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 spans="1:28" ht="14.4" x14ac:dyDescent="0.3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55"/>
      <c r="N275" s="45"/>
      <c r="O275" s="45"/>
      <c r="P275" s="5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 spans="1:28" ht="14.4" x14ac:dyDescent="0.3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55"/>
      <c r="N276" s="45"/>
      <c r="O276" s="45"/>
      <c r="P276" s="5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 spans="1:28" ht="14.4" x14ac:dyDescent="0.3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55"/>
      <c r="N277" s="45"/>
      <c r="O277" s="45"/>
      <c r="P277" s="5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 spans="1:28" ht="14.4" x14ac:dyDescent="0.3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55"/>
      <c r="N278" s="45"/>
      <c r="O278" s="45"/>
      <c r="P278" s="5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 spans="1:28" ht="14.4" x14ac:dyDescent="0.3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55"/>
      <c r="N279" s="45"/>
      <c r="O279" s="45"/>
      <c r="P279" s="5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 spans="1:28" ht="14.4" x14ac:dyDescent="0.3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55"/>
      <c r="N280" s="45"/>
      <c r="O280" s="45"/>
      <c r="P280" s="5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 spans="1:28" ht="14.4" x14ac:dyDescent="0.3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55"/>
      <c r="N281" s="45"/>
      <c r="O281" s="45"/>
      <c r="P281" s="5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 spans="1:28" ht="14.4" x14ac:dyDescent="0.3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55"/>
      <c r="N282" s="45"/>
      <c r="O282" s="45"/>
      <c r="P282" s="5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 spans="1:28" ht="14.4" x14ac:dyDescent="0.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55"/>
      <c r="N283" s="45"/>
      <c r="O283" s="45"/>
      <c r="P283" s="5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 spans="1:28" ht="14.4" x14ac:dyDescent="0.3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55"/>
      <c r="N284" s="45"/>
      <c r="O284" s="45"/>
      <c r="P284" s="5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 spans="1:28" ht="14.4" x14ac:dyDescent="0.3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55"/>
      <c r="N285" s="45"/>
      <c r="O285" s="45"/>
      <c r="P285" s="5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 spans="1:28" ht="14.4" x14ac:dyDescent="0.3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55"/>
      <c r="N286" s="45"/>
      <c r="O286" s="45"/>
      <c r="P286" s="5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 spans="1:28" ht="14.4" x14ac:dyDescent="0.3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55"/>
      <c r="N287" s="45"/>
      <c r="O287" s="45"/>
      <c r="P287" s="5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 spans="1:28" ht="14.4" x14ac:dyDescent="0.3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55"/>
      <c r="N288" s="45"/>
      <c r="O288" s="45"/>
      <c r="P288" s="5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 spans="1:28" ht="14.4" x14ac:dyDescent="0.3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55"/>
      <c r="N289" s="45"/>
      <c r="O289" s="45"/>
      <c r="P289" s="5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 spans="1:28" ht="14.4" x14ac:dyDescent="0.3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55"/>
      <c r="N290" s="45"/>
      <c r="O290" s="45"/>
      <c r="P290" s="5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 spans="1:28" ht="14.4" x14ac:dyDescent="0.3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55"/>
      <c r="N291" s="45"/>
      <c r="O291" s="45"/>
      <c r="P291" s="5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 spans="1:28" ht="14.4" x14ac:dyDescent="0.3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55"/>
      <c r="N292" s="45"/>
      <c r="O292" s="45"/>
      <c r="P292" s="5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 spans="1:28" ht="14.4" x14ac:dyDescent="0.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55"/>
      <c r="N293" s="45"/>
      <c r="O293" s="45"/>
      <c r="P293" s="5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 spans="1:28" ht="14.4" x14ac:dyDescent="0.3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55"/>
      <c r="N294" s="45"/>
      <c r="O294" s="45"/>
      <c r="P294" s="5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 spans="1:28" ht="14.4" x14ac:dyDescent="0.3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55"/>
      <c r="N295" s="45"/>
      <c r="O295" s="45"/>
      <c r="P295" s="5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 spans="1:28" ht="14.4" x14ac:dyDescent="0.3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55"/>
      <c r="N296" s="45"/>
      <c r="O296" s="45"/>
      <c r="P296" s="5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 spans="1:28" ht="14.4" x14ac:dyDescent="0.3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55"/>
      <c r="N297" s="45"/>
      <c r="O297" s="45"/>
      <c r="P297" s="5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 spans="1:28" ht="14.4" x14ac:dyDescent="0.3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55"/>
      <c r="N298" s="45"/>
      <c r="O298" s="45"/>
      <c r="P298" s="5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 spans="1:28" ht="14.4" x14ac:dyDescent="0.3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55"/>
      <c r="N299" s="45"/>
      <c r="O299" s="45"/>
      <c r="P299" s="5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 spans="1:28" ht="14.4" x14ac:dyDescent="0.3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55"/>
      <c r="N300" s="45"/>
      <c r="O300" s="45"/>
      <c r="P300" s="5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 spans="1:28" ht="14.4" x14ac:dyDescent="0.3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55"/>
      <c r="N301" s="45"/>
      <c r="O301" s="45"/>
      <c r="P301" s="5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 spans="1:28" ht="14.4" x14ac:dyDescent="0.3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55"/>
      <c r="N302" s="45"/>
      <c r="O302" s="45"/>
      <c r="P302" s="5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 spans="1:28" ht="14.4" x14ac:dyDescent="0.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55"/>
      <c r="N303" s="45"/>
      <c r="O303" s="45"/>
      <c r="P303" s="5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 spans="1:28" ht="14.4" x14ac:dyDescent="0.3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55"/>
      <c r="N304" s="45"/>
      <c r="O304" s="45"/>
      <c r="P304" s="5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 spans="1:28" ht="14.4" x14ac:dyDescent="0.3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55"/>
      <c r="N305" s="45"/>
      <c r="O305" s="45"/>
      <c r="P305" s="5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 spans="1:28" ht="14.4" x14ac:dyDescent="0.3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55"/>
      <c r="N306" s="45"/>
      <c r="O306" s="45"/>
      <c r="P306" s="5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 spans="1:28" ht="14.4" x14ac:dyDescent="0.3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55"/>
      <c r="N307" s="45"/>
      <c r="O307" s="45"/>
      <c r="P307" s="5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 spans="1:28" ht="14.4" x14ac:dyDescent="0.3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55"/>
      <c r="N308" s="45"/>
      <c r="O308" s="45"/>
      <c r="P308" s="5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 spans="1:28" ht="14.4" x14ac:dyDescent="0.3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55"/>
      <c r="N309" s="45"/>
      <c r="O309" s="45"/>
      <c r="P309" s="5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 spans="1:28" ht="14.4" x14ac:dyDescent="0.3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55"/>
      <c r="N310" s="45"/>
      <c r="O310" s="45"/>
      <c r="P310" s="5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 spans="1:28" ht="14.4" x14ac:dyDescent="0.3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55"/>
      <c r="N311" s="45"/>
      <c r="O311" s="45"/>
      <c r="P311" s="5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 spans="1:28" ht="14.4" x14ac:dyDescent="0.3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55"/>
      <c r="N312" s="45"/>
      <c r="O312" s="45"/>
      <c r="P312" s="5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 spans="1:28" ht="14.4" x14ac:dyDescent="0.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55"/>
      <c r="N313" s="45"/>
      <c r="O313" s="45"/>
      <c r="P313" s="5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 spans="1:28" ht="14.4" x14ac:dyDescent="0.3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55"/>
      <c r="N314" s="45"/>
      <c r="O314" s="45"/>
      <c r="P314" s="5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 spans="1:28" ht="14.4" x14ac:dyDescent="0.3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55"/>
      <c r="N315" s="45"/>
      <c r="O315" s="45"/>
      <c r="P315" s="5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 spans="1:28" ht="14.4" x14ac:dyDescent="0.3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55"/>
      <c r="N316" s="45"/>
      <c r="O316" s="45"/>
      <c r="P316" s="5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 spans="1:28" ht="14.4" x14ac:dyDescent="0.3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55"/>
      <c r="N317" s="45"/>
      <c r="O317" s="45"/>
      <c r="P317" s="5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 spans="1:28" ht="14.4" x14ac:dyDescent="0.3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55"/>
      <c r="N318" s="45"/>
      <c r="O318" s="45"/>
      <c r="P318" s="5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 spans="1:28" ht="14.4" x14ac:dyDescent="0.3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55"/>
      <c r="N319" s="45"/>
      <c r="O319" s="45"/>
      <c r="P319" s="5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 spans="1:28" ht="14.4" x14ac:dyDescent="0.3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55"/>
      <c r="N320" s="45"/>
      <c r="O320" s="45"/>
      <c r="P320" s="5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 spans="1:28" ht="14.4" x14ac:dyDescent="0.3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55"/>
      <c r="N321" s="45"/>
      <c r="O321" s="45"/>
      <c r="P321" s="5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 spans="1:28" ht="14.4" x14ac:dyDescent="0.3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55"/>
      <c r="N322" s="45"/>
      <c r="O322" s="45"/>
      <c r="P322" s="5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 spans="1:28" ht="14.4" x14ac:dyDescent="0.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55"/>
      <c r="N323" s="45"/>
      <c r="O323" s="45"/>
      <c r="P323" s="5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 spans="1:28" ht="14.4" x14ac:dyDescent="0.3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55"/>
      <c r="N324" s="45"/>
      <c r="O324" s="45"/>
      <c r="P324" s="5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 spans="1:28" ht="14.4" x14ac:dyDescent="0.3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55"/>
      <c r="N325" s="45"/>
      <c r="O325" s="45"/>
      <c r="P325" s="5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 spans="1:28" ht="14.4" x14ac:dyDescent="0.3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55"/>
      <c r="N326" s="45"/>
      <c r="O326" s="45"/>
      <c r="P326" s="5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 spans="1:28" ht="14.4" x14ac:dyDescent="0.3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55"/>
      <c r="N327" s="45"/>
      <c r="O327" s="45"/>
      <c r="P327" s="5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 spans="1:28" ht="14.4" x14ac:dyDescent="0.3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55"/>
      <c r="N328" s="45"/>
      <c r="O328" s="45"/>
      <c r="P328" s="5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 spans="1:28" ht="14.4" x14ac:dyDescent="0.3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55"/>
      <c r="N329" s="45"/>
      <c r="O329" s="45"/>
      <c r="P329" s="5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 spans="1:28" ht="14.4" x14ac:dyDescent="0.3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55"/>
      <c r="N330" s="45"/>
      <c r="O330" s="45"/>
      <c r="P330" s="5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 spans="1:28" ht="14.4" x14ac:dyDescent="0.3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55"/>
      <c r="N331" s="45"/>
      <c r="O331" s="45"/>
      <c r="P331" s="5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 spans="1:28" ht="14.4" x14ac:dyDescent="0.3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55"/>
      <c r="N332" s="45"/>
      <c r="O332" s="45"/>
      <c r="P332" s="5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 spans="1:28" ht="14.4" x14ac:dyDescent="0.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55"/>
      <c r="N333" s="45"/>
      <c r="O333" s="45"/>
      <c r="P333" s="5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 spans="1:28" ht="14.4" x14ac:dyDescent="0.3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55"/>
      <c r="N334" s="45"/>
      <c r="O334" s="45"/>
      <c r="P334" s="5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 spans="1:28" ht="14.4" x14ac:dyDescent="0.3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55"/>
      <c r="N335" s="45"/>
      <c r="O335" s="45"/>
      <c r="P335" s="5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 spans="1:28" ht="14.4" x14ac:dyDescent="0.3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55"/>
      <c r="N336" s="45"/>
      <c r="O336" s="45"/>
      <c r="P336" s="5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 spans="1:28" ht="14.4" x14ac:dyDescent="0.3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55"/>
      <c r="N337" s="45"/>
      <c r="O337" s="45"/>
      <c r="P337" s="5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 spans="1:28" ht="14.4" x14ac:dyDescent="0.3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55"/>
      <c r="N338" s="45"/>
      <c r="O338" s="45"/>
      <c r="P338" s="5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 spans="1:28" ht="14.4" x14ac:dyDescent="0.3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55"/>
      <c r="N339" s="45"/>
      <c r="O339" s="45"/>
      <c r="P339" s="5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 spans="1:28" ht="14.4" x14ac:dyDescent="0.3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55"/>
      <c r="N340" s="45"/>
      <c r="O340" s="45"/>
      <c r="P340" s="5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 spans="1:28" ht="14.4" x14ac:dyDescent="0.3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55"/>
      <c r="N341" s="45"/>
      <c r="O341" s="45"/>
      <c r="P341" s="5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 spans="1:28" ht="14.4" x14ac:dyDescent="0.3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55"/>
      <c r="N342" s="45"/>
      <c r="O342" s="45"/>
      <c r="P342" s="5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 spans="1:28" ht="14.4" x14ac:dyDescent="0.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55"/>
      <c r="N343" s="45"/>
      <c r="O343" s="45"/>
      <c r="P343" s="5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 spans="1:28" ht="14.4" x14ac:dyDescent="0.3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55"/>
      <c r="N344" s="45"/>
      <c r="O344" s="45"/>
      <c r="P344" s="5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 spans="1:28" ht="14.4" x14ac:dyDescent="0.3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55"/>
      <c r="N345" s="45"/>
      <c r="O345" s="45"/>
      <c r="P345" s="5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 spans="1:28" ht="14.4" x14ac:dyDescent="0.3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55"/>
      <c r="N346" s="45"/>
      <c r="O346" s="45"/>
      <c r="P346" s="5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 spans="1:28" ht="14.4" x14ac:dyDescent="0.3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55"/>
      <c r="N347" s="45"/>
      <c r="O347" s="45"/>
      <c r="P347" s="5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 spans="1:28" ht="14.4" x14ac:dyDescent="0.3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55"/>
      <c r="N348" s="45"/>
      <c r="O348" s="45"/>
      <c r="P348" s="5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 spans="1:28" ht="14.4" x14ac:dyDescent="0.3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55"/>
      <c r="N349" s="45"/>
      <c r="O349" s="45"/>
      <c r="P349" s="5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 spans="1:28" ht="14.4" x14ac:dyDescent="0.3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55"/>
      <c r="N350" s="45"/>
      <c r="O350" s="45"/>
      <c r="P350" s="5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 spans="1:28" ht="14.4" x14ac:dyDescent="0.3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55"/>
      <c r="N351" s="45"/>
      <c r="O351" s="45"/>
      <c r="P351" s="5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 spans="1:28" ht="14.4" x14ac:dyDescent="0.3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55"/>
      <c r="N352" s="45"/>
      <c r="O352" s="45"/>
      <c r="P352" s="5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 spans="1:28" ht="14.4" x14ac:dyDescent="0.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55"/>
      <c r="N353" s="45"/>
      <c r="O353" s="45"/>
      <c r="P353" s="5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 spans="1:28" ht="14.4" x14ac:dyDescent="0.3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55"/>
      <c r="N354" s="45"/>
      <c r="O354" s="45"/>
      <c r="P354" s="5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 spans="1:28" ht="14.4" x14ac:dyDescent="0.3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55"/>
      <c r="N355" s="45"/>
      <c r="O355" s="45"/>
      <c r="P355" s="5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 spans="1:28" ht="14.4" x14ac:dyDescent="0.3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55"/>
      <c r="N356" s="45"/>
      <c r="O356" s="45"/>
      <c r="P356" s="5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 spans="1:28" ht="14.4" x14ac:dyDescent="0.3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55"/>
      <c r="N357" s="45"/>
      <c r="O357" s="45"/>
      <c r="P357" s="5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 spans="1:28" ht="14.4" x14ac:dyDescent="0.3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55"/>
      <c r="N358" s="45"/>
      <c r="O358" s="45"/>
      <c r="P358" s="5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 spans="1:28" ht="14.4" x14ac:dyDescent="0.3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55"/>
      <c r="N359" s="45"/>
      <c r="O359" s="45"/>
      <c r="P359" s="5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 spans="1:28" ht="14.4" x14ac:dyDescent="0.3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55"/>
      <c r="N360" s="45"/>
      <c r="O360" s="45"/>
      <c r="P360" s="5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 spans="1:28" ht="14.4" x14ac:dyDescent="0.3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55"/>
      <c r="N361" s="45"/>
      <c r="O361" s="45"/>
      <c r="P361" s="5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 spans="1:28" ht="14.4" x14ac:dyDescent="0.3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55"/>
      <c r="N362" s="45"/>
      <c r="O362" s="45"/>
      <c r="P362" s="5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 spans="1:28" ht="14.4" x14ac:dyDescent="0.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55"/>
      <c r="N363" s="45"/>
      <c r="O363" s="45"/>
      <c r="P363" s="5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 spans="1:28" ht="14.4" x14ac:dyDescent="0.3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55"/>
      <c r="N364" s="45"/>
      <c r="O364" s="45"/>
      <c r="P364" s="5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 spans="1:28" ht="14.4" x14ac:dyDescent="0.3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55"/>
      <c r="N365" s="45"/>
      <c r="O365" s="45"/>
      <c r="P365" s="5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 spans="1:28" ht="14.4" x14ac:dyDescent="0.3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55"/>
      <c r="N366" s="45"/>
      <c r="O366" s="45"/>
      <c r="P366" s="5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 spans="1:28" ht="14.4" x14ac:dyDescent="0.3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55"/>
      <c r="N367" s="45"/>
      <c r="O367" s="45"/>
      <c r="P367" s="5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 spans="1:28" ht="14.4" x14ac:dyDescent="0.3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55"/>
      <c r="N368" s="45"/>
      <c r="O368" s="45"/>
      <c r="P368" s="5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 spans="1:28" ht="14.4" x14ac:dyDescent="0.3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55"/>
      <c r="N369" s="45"/>
      <c r="O369" s="45"/>
      <c r="P369" s="5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 spans="1:28" ht="14.4" x14ac:dyDescent="0.3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55"/>
      <c r="N370" s="45"/>
      <c r="O370" s="45"/>
      <c r="P370" s="5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 spans="1:28" ht="14.4" x14ac:dyDescent="0.3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55"/>
      <c r="N371" s="45"/>
      <c r="O371" s="45"/>
      <c r="P371" s="5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 spans="1:28" ht="14.4" x14ac:dyDescent="0.3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55"/>
      <c r="N372" s="45"/>
      <c r="O372" s="45"/>
      <c r="P372" s="5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 spans="1:28" ht="14.4" x14ac:dyDescent="0.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55"/>
      <c r="N373" s="45"/>
      <c r="O373" s="45"/>
      <c r="P373" s="5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 spans="1:28" ht="14.4" x14ac:dyDescent="0.3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55"/>
      <c r="N374" s="45"/>
      <c r="O374" s="45"/>
      <c r="P374" s="5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 spans="1:28" ht="14.4" x14ac:dyDescent="0.3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55"/>
      <c r="N375" s="45"/>
      <c r="O375" s="45"/>
      <c r="P375" s="5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 spans="1:28" ht="14.4" x14ac:dyDescent="0.3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55"/>
      <c r="N376" s="45"/>
      <c r="O376" s="45"/>
      <c r="P376" s="5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 spans="1:28" ht="14.4" x14ac:dyDescent="0.3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55"/>
      <c r="N377" s="45"/>
      <c r="O377" s="45"/>
      <c r="P377" s="5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 spans="1:28" ht="14.4" x14ac:dyDescent="0.3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55"/>
      <c r="N378" s="45"/>
      <c r="O378" s="45"/>
      <c r="P378" s="5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 spans="1:28" ht="14.4" x14ac:dyDescent="0.3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55"/>
      <c r="N379" s="45"/>
      <c r="O379" s="45"/>
      <c r="P379" s="5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 spans="1:28" ht="14.4" x14ac:dyDescent="0.3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55"/>
      <c r="N380" s="45"/>
      <c r="O380" s="45"/>
      <c r="P380" s="5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 spans="1:28" ht="14.4" x14ac:dyDescent="0.3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55"/>
      <c r="N381" s="45"/>
      <c r="O381" s="45"/>
      <c r="P381" s="5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 spans="1:28" ht="14.4" x14ac:dyDescent="0.3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55"/>
      <c r="N382" s="45"/>
      <c r="O382" s="45"/>
      <c r="P382" s="5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 spans="1:28" ht="14.4" x14ac:dyDescent="0.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55"/>
      <c r="N383" s="45"/>
      <c r="O383" s="45"/>
      <c r="P383" s="5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 spans="1:28" ht="14.4" x14ac:dyDescent="0.3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55"/>
      <c r="N384" s="45"/>
      <c r="O384" s="45"/>
      <c r="P384" s="5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 spans="1:28" ht="14.4" x14ac:dyDescent="0.3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55"/>
      <c r="N385" s="45"/>
      <c r="O385" s="45"/>
      <c r="P385" s="5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 spans="1:28" ht="14.4" x14ac:dyDescent="0.3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55"/>
      <c r="N386" s="45"/>
      <c r="O386" s="45"/>
      <c r="P386" s="5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 spans="1:28" ht="14.4" x14ac:dyDescent="0.3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55"/>
      <c r="N387" s="45"/>
      <c r="O387" s="45"/>
      <c r="P387" s="5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 spans="1:28" ht="14.4" x14ac:dyDescent="0.3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55"/>
      <c r="N388" s="45"/>
      <c r="O388" s="45"/>
      <c r="P388" s="5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 spans="1:28" ht="14.4" x14ac:dyDescent="0.3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55"/>
      <c r="N389" s="45"/>
      <c r="O389" s="45"/>
      <c r="P389" s="5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 spans="1:28" ht="14.4" x14ac:dyDescent="0.3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55"/>
      <c r="N390" s="45"/>
      <c r="O390" s="45"/>
      <c r="P390" s="5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 spans="1:28" ht="14.4" x14ac:dyDescent="0.3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55"/>
      <c r="N391" s="45"/>
      <c r="O391" s="45"/>
      <c r="P391" s="5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 spans="1:28" ht="14.4" x14ac:dyDescent="0.3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55"/>
      <c r="N392" s="45"/>
      <c r="O392" s="45"/>
      <c r="P392" s="5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 spans="1:28" ht="14.4" x14ac:dyDescent="0.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55"/>
      <c r="N393" s="45"/>
      <c r="O393" s="45"/>
      <c r="P393" s="5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 spans="1:28" ht="14.4" x14ac:dyDescent="0.3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55"/>
      <c r="N394" s="45"/>
      <c r="O394" s="45"/>
      <c r="P394" s="5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 spans="1:28" ht="14.4" x14ac:dyDescent="0.3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55"/>
      <c r="N395" s="45"/>
      <c r="O395" s="45"/>
      <c r="P395" s="5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 spans="1:28" ht="14.4" x14ac:dyDescent="0.3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55"/>
      <c r="N396" s="45"/>
      <c r="O396" s="45"/>
      <c r="P396" s="5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 spans="1:28" ht="14.4" x14ac:dyDescent="0.3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55"/>
      <c r="N397" s="45"/>
      <c r="O397" s="45"/>
      <c r="P397" s="5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 spans="1:28" ht="14.4" x14ac:dyDescent="0.3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55"/>
      <c r="N398" s="45"/>
      <c r="O398" s="45"/>
      <c r="P398" s="5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 spans="1:28" ht="14.4" x14ac:dyDescent="0.3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55"/>
      <c r="N399" s="45"/>
      <c r="O399" s="45"/>
      <c r="P399" s="5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 spans="1:28" ht="14.4" x14ac:dyDescent="0.3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55"/>
      <c r="N400" s="45"/>
      <c r="O400" s="45"/>
      <c r="P400" s="5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 spans="1:28" ht="14.4" x14ac:dyDescent="0.3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55"/>
      <c r="N401" s="45"/>
      <c r="O401" s="45"/>
      <c r="P401" s="5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 spans="1:28" ht="14.4" x14ac:dyDescent="0.3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55"/>
      <c r="N402" s="45"/>
      <c r="O402" s="45"/>
      <c r="P402" s="5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 spans="1:28" ht="14.4" x14ac:dyDescent="0.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55"/>
      <c r="N403" s="45"/>
      <c r="O403" s="45"/>
      <c r="P403" s="5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 spans="1:28" ht="14.4" x14ac:dyDescent="0.3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55"/>
      <c r="N404" s="45"/>
      <c r="O404" s="45"/>
      <c r="P404" s="5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 spans="1:28" ht="14.4" x14ac:dyDescent="0.3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55"/>
      <c r="N405" s="45"/>
      <c r="O405" s="45"/>
      <c r="P405" s="5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 spans="1:28" ht="14.4" x14ac:dyDescent="0.3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55"/>
      <c r="N406" s="45"/>
      <c r="O406" s="45"/>
      <c r="P406" s="5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 spans="1:28" ht="14.4" x14ac:dyDescent="0.3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55"/>
      <c r="N407" s="45"/>
      <c r="O407" s="45"/>
      <c r="P407" s="5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 spans="1:28" ht="14.4" x14ac:dyDescent="0.3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55"/>
      <c r="N408" s="45"/>
      <c r="O408" s="45"/>
      <c r="P408" s="5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 spans="1:28" ht="14.4" x14ac:dyDescent="0.3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55"/>
      <c r="N409" s="45"/>
      <c r="O409" s="45"/>
      <c r="P409" s="5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 spans="1:28" ht="14.4" x14ac:dyDescent="0.3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55"/>
      <c r="N410" s="45"/>
      <c r="O410" s="45"/>
      <c r="P410" s="5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 spans="1:28" ht="14.4" x14ac:dyDescent="0.3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55"/>
      <c r="N411" s="45"/>
      <c r="O411" s="45"/>
      <c r="P411" s="5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 spans="1:28" ht="14.4" x14ac:dyDescent="0.3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55"/>
      <c r="N412" s="45"/>
      <c r="O412" s="45"/>
      <c r="P412" s="5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 spans="1:28" ht="14.4" x14ac:dyDescent="0.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55"/>
      <c r="N413" s="45"/>
      <c r="O413" s="45"/>
      <c r="P413" s="5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 spans="1:28" ht="14.4" x14ac:dyDescent="0.3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55"/>
      <c r="N414" s="45"/>
      <c r="O414" s="45"/>
      <c r="P414" s="5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 spans="1:28" ht="14.4" x14ac:dyDescent="0.3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55"/>
      <c r="N415" s="45"/>
      <c r="O415" s="45"/>
      <c r="P415" s="5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 spans="1:28" ht="14.4" x14ac:dyDescent="0.3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55"/>
      <c r="N416" s="45"/>
      <c r="O416" s="45"/>
      <c r="P416" s="5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 spans="1:28" ht="14.4" x14ac:dyDescent="0.3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55"/>
      <c r="N417" s="45"/>
      <c r="O417" s="45"/>
      <c r="P417" s="5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 spans="1:28" ht="14.4" x14ac:dyDescent="0.3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55"/>
      <c r="N418" s="45"/>
      <c r="O418" s="45"/>
      <c r="P418" s="5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 spans="1:28" ht="14.4" x14ac:dyDescent="0.3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55"/>
      <c r="N419" s="45"/>
      <c r="O419" s="45"/>
      <c r="P419" s="5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 spans="1:28" ht="14.4" x14ac:dyDescent="0.3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55"/>
      <c r="N420" s="45"/>
      <c r="O420" s="45"/>
      <c r="P420" s="5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 spans="1:28" ht="14.4" x14ac:dyDescent="0.3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55"/>
      <c r="N421" s="45"/>
      <c r="O421" s="45"/>
      <c r="P421" s="5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 spans="1:28" ht="14.4" x14ac:dyDescent="0.3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55"/>
      <c r="N422" s="45"/>
      <c r="O422" s="45"/>
      <c r="P422" s="5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 spans="1:28" ht="14.4" x14ac:dyDescent="0.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55"/>
      <c r="N423" s="45"/>
      <c r="O423" s="45"/>
      <c r="P423" s="5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 spans="1:28" ht="14.4" x14ac:dyDescent="0.3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55"/>
      <c r="N424" s="45"/>
      <c r="O424" s="45"/>
      <c r="P424" s="5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 spans="1:28" ht="14.4" x14ac:dyDescent="0.3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55"/>
      <c r="N425" s="45"/>
      <c r="O425" s="45"/>
      <c r="P425" s="5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 spans="1:28" ht="14.4" x14ac:dyDescent="0.3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55"/>
      <c r="N426" s="45"/>
      <c r="O426" s="45"/>
      <c r="P426" s="5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 spans="1:28" ht="14.4" x14ac:dyDescent="0.3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55"/>
      <c r="N427" s="45"/>
      <c r="O427" s="45"/>
      <c r="P427" s="5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 spans="1:28" ht="14.4" x14ac:dyDescent="0.3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55"/>
      <c r="N428" s="45"/>
      <c r="O428" s="45"/>
      <c r="P428" s="5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 spans="1:28" ht="14.4" x14ac:dyDescent="0.3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55"/>
      <c r="N429" s="45"/>
      <c r="O429" s="45"/>
      <c r="P429" s="5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 spans="1:28" ht="14.4" x14ac:dyDescent="0.3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55"/>
      <c r="N430" s="45"/>
      <c r="O430" s="45"/>
      <c r="P430" s="5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 spans="1:28" ht="14.4" x14ac:dyDescent="0.3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55"/>
      <c r="N431" s="45"/>
      <c r="O431" s="45"/>
      <c r="P431" s="5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 spans="1:28" ht="14.4" x14ac:dyDescent="0.3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55"/>
      <c r="N432" s="45"/>
      <c r="O432" s="45"/>
      <c r="P432" s="5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 spans="1:28" ht="14.4" x14ac:dyDescent="0.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55"/>
      <c r="N433" s="45"/>
      <c r="O433" s="45"/>
      <c r="P433" s="5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 spans="1:28" ht="14.4" x14ac:dyDescent="0.3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55"/>
      <c r="N434" s="45"/>
      <c r="O434" s="45"/>
      <c r="P434" s="5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 spans="1:28" ht="14.4" x14ac:dyDescent="0.3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55"/>
      <c r="N435" s="45"/>
      <c r="O435" s="45"/>
      <c r="P435" s="5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 spans="1:28" ht="14.4" x14ac:dyDescent="0.3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55"/>
      <c r="N436" s="45"/>
      <c r="O436" s="45"/>
      <c r="P436" s="5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 spans="1:28" ht="14.4" x14ac:dyDescent="0.3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55"/>
      <c r="N437" s="45"/>
      <c r="O437" s="45"/>
      <c r="P437" s="5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 spans="1:28" ht="14.4" x14ac:dyDescent="0.3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55"/>
      <c r="N438" s="45"/>
      <c r="O438" s="45"/>
      <c r="P438" s="5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 spans="1:28" ht="14.4" x14ac:dyDescent="0.3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55"/>
      <c r="N439" s="45"/>
      <c r="O439" s="45"/>
      <c r="P439" s="5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 spans="1:28" ht="14.4" x14ac:dyDescent="0.3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55"/>
      <c r="N440" s="45"/>
      <c r="O440" s="45"/>
      <c r="P440" s="5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 spans="1:28" ht="14.4" x14ac:dyDescent="0.3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55"/>
      <c r="N441" s="45"/>
      <c r="O441" s="45"/>
      <c r="P441" s="5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 spans="1:28" ht="14.4" x14ac:dyDescent="0.3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55"/>
      <c r="N442" s="45"/>
      <c r="O442" s="45"/>
      <c r="P442" s="5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 spans="1:28" ht="14.4" x14ac:dyDescent="0.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55"/>
      <c r="N443" s="45"/>
      <c r="O443" s="45"/>
      <c r="P443" s="5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 spans="1:28" ht="14.4" x14ac:dyDescent="0.3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55"/>
      <c r="N444" s="45"/>
      <c r="O444" s="45"/>
      <c r="P444" s="5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 spans="1:28" ht="14.4" x14ac:dyDescent="0.3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55"/>
      <c r="N445" s="45"/>
      <c r="O445" s="45"/>
      <c r="P445" s="5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 spans="1:28" ht="14.4" x14ac:dyDescent="0.3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55"/>
      <c r="N446" s="45"/>
      <c r="O446" s="45"/>
      <c r="P446" s="5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 spans="1:28" ht="14.4" x14ac:dyDescent="0.3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55"/>
      <c r="N447" s="45"/>
      <c r="O447" s="45"/>
      <c r="P447" s="5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 spans="1:28" ht="14.4" x14ac:dyDescent="0.3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55"/>
      <c r="N448" s="45"/>
      <c r="O448" s="45"/>
      <c r="P448" s="5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 spans="1:28" ht="14.4" x14ac:dyDescent="0.3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55"/>
      <c r="N449" s="45"/>
      <c r="O449" s="45"/>
      <c r="P449" s="5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 spans="1:28" ht="14.4" x14ac:dyDescent="0.3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55"/>
      <c r="N450" s="45"/>
      <c r="O450" s="45"/>
      <c r="P450" s="5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 spans="1:28" ht="14.4" x14ac:dyDescent="0.3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55"/>
      <c r="N451" s="45"/>
      <c r="O451" s="45"/>
      <c r="P451" s="5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 spans="1:28" ht="14.4" x14ac:dyDescent="0.3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55"/>
      <c r="N452" s="45"/>
      <c r="O452" s="45"/>
      <c r="P452" s="5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 spans="1:28" ht="14.4" x14ac:dyDescent="0.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55"/>
      <c r="N453" s="45"/>
      <c r="O453" s="45"/>
      <c r="P453" s="5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 spans="1:28" ht="14.4" x14ac:dyDescent="0.3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55"/>
      <c r="N454" s="45"/>
      <c r="O454" s="45"/>
      <c r="P454" s="5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 spans="1:28" ht="14.4" x14ac:dyDescent="0.3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55"/>
      <c r="N455" s="45"/>
      <c r="O455" s="45"/>
      <c r="P455" s="5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 spans="1:28" ht="14.4" x14ac:dyDescent="0.3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55"/>
      <c r="N456" s="45"/>
      <c r="O456" s="45"/>
      <c r="P456" s="5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 spans="1:28" ht="14.4" x14ac:dyDescent="0.3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55"/>
      <c r="N457" s="45"/>
      <c r="O457" s="45"/>
      <c r="P457" s="5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 spans="1:28" ht="14.4" x14ac:dyDescent="0.3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55"/>
      <c r="N458" s="45"/>
      <c r="O458" s="45"/>
      <c r="P458" s="5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 spans="1:28" ht="14.4" x14ac:dyDescent="0.3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55"/>
      <c r="N459" s="45"/>
      <c r="O459" s="45"/>
      <c r="P459" s="5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 spans="1:28" ht="14.4" x14ac:dyDescent="0.3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55"/>
      <c r="N460" s="45"/>
      <c r="O460" s="45"/>
      <c r="P460" s="5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 spans="1:28" ht="14.4" x14ac:dyDescent="0.3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55"/>
      <c r="N461" s="45"/>
      <c r="O461" s="45"/>
      <c r="P461" s="5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 spans="1:28" ht="14.4" x14ac:dyDescent="0.3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55"/>
      <c r="N462" s="45"/>
      <c r="O462" s="45"/>
      <c r="P462" s="5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 spans="1:28" ht="14.4" x14ac:dyDescent="0.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55"/>
      <c r="N463" s="45"/>
      <c r="O463" s="45"/>
      <c r="P463" s="5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 spans="1:28" ht="14.4" x14ac:dyDescent="0.3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55"/>
      <c r="N464" s="45"/>
      <c r="O464" s="45"/>
      <c r="P464" s="5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 spans="1:28" ht="14.4" x14ac:dyDescent="0.3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55"/>
      <c r="N465" s="45"/>
      <c r="O465" s="45"/>
      <c r="P465" s="5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 spans="1:28" ht="14.4" x14ac:dyDescent="0.3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55"/>
      <c r="N466" s="45"/>
      <c r="O466" s="45"/>
      <c r="P466" s="5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 spans="1:28" ht="14.4" x14ac:dyDescent="0.3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55"/>
      <c r="N467" s="45"/>
      <c r="O467" s="45"/>
      <c r="P467" s="5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 spans="1:28" ht="14.4" x14ac:dyDescent="0.3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55"/>
      <c r="N468" s="45"/>
      <c r="O468" s="45"/>
      <c r="P468" s="5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 spans="1:28" ht="14.4" x14ac:dyDescent="0.3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55"/>
      <c r="N469" s="45"/>
      <c r="O469" s="45"/>
      <c r="P469" s="5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 spans="1:28" ht="14.4" x14ac:dyDescent="0.3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55"/>
      <c r="N470" s="45"/>
      <c r="O470" s="45"/>
      <c r="P470" s="5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 spans="1:28" ht="14.4" x14ac:dyDescent="0.3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55"/>
      <c r="N471" s="45"/>
      <c r="O471" s="45"/>
      <c r="P471" s="5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 spans="1:28" ht="14.4" x14ac:dyDescent="0.3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55"/>
      <c r="N472" s="45"/>
      <c r="O472" s="45"/>
      <c r="P472" s="5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 spans="1:28" ht="14.4" x14ac:dyDescent="0.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55"/>
      <c r="N473" s="45"/>
      <c r="O473" s="45"/>
      <c r="P473" s="5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 spans="1:28" ht="14.4" x14ac:dyDescent="0.3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55"/>
      <c r="N474" s="45"/>
      <c r="O474" s="45"/>
      <c r="P474" s="5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 spans="1:28" ht="14.4" x14ac:dyDescent="0.3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55"/>
      <c r="N475" s="45"/>
      <c r="O475" s="45"/>
      <c r="P475" s="5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 spans="1:28" ht="14.4" x14ac:dyDescent="0.3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55"/>
      <c r="N476" s="45"/>
      <c r="O476" s="45"/>
      <c r="P476" s="5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 spans="1:28" ht="14.4" x14ac:dyDescent="0.3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55"/>
      <c r="N477" s="45"/>
      <c r="O477" s="45"/>
      <c r="P477" s="5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 spans="1:28" ht="14.4" x14ac:dyDescent="0.3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55"/>
      <c r="N478" s="45"/>
      <c r="O478" s="45"/>
      <c r="P478" s="5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 spans="1:28" ht="14.4" x14ac:dyDescent="0.3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55"/>
      <c r="N479" s="45"/>
      <c r="O479" s="45"/>
      <c r="P479" s="5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 spans="1:28" ht="14.4" x14ac:dyDescent="0.3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55"/>
      <c r="N480" s="45"/>
      <c r="O480" s="45"/>
      <c r="P480" s="5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 spans="1:28" ht="14.4" x14ac:dyDescent="0.3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55"/>
      <c r="N481" s="45"/>
      <c r="O481" s="45"/>
      <c r="P481" s="5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 spans="1:28" ht="14.4" x14ac:dyDescent="0.3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55"/>
      <c r="N482" s="45"/>
      <c r="O482" s="45"/>
      <c r="P482" s="5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 spans="1:28" ht="14.4" x14ac:dyDescent="0.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55"/>
      <c r="N483" s="45"/>
      <c r="O483" s="45"/>
      <c r="P483" s="5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 spans="1:28" ht="14.4" x14ac:dyDescent="0.3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55"/>
      <c r="N484" s="45"/>
      <c r="O484" s="45"/>
      <c r="P484" s="5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 spans="1:28" ht="14.4" x14ac:dyDescent="0.3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55"/>
      <c r="N485" s="45"/>
      <c r="O485" s="45"/>
      <c r="P485" s="5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 spans="1:28" ht="14.4" x14ac:dyDescent="0.3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55"/>
      <c r="N486" s="45"/>
      <c r="O486" s="45"/>
      <c r="P486" s="5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 spans="1:28" ht="14.4" x14ac:dyDescent="0.3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55"/>
      <c r="N487" s="45"/>
      <c r="O487" s="45"/>
      <c r="P487" s="5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 spans="1:28" ht="14.4" x14ac:dyDescent="0.3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55"/>
      <c r="N488" s="45"/>
      <c r="O488" s="45"/>
      <c r="P488" s="5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 spans="1:28" ht="14.4" x14ac:dyDescent="0.3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55"/>
      <c r="N489" s="45"/>
      <c r="O489" s="45"/>
      <c r="P489" s="5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 spans="1:28" ht="14.4" x14ac:dyDescent="0.3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55"/>
      <c r="N490" s="45"/>
      <c r="O490" s="45"/>
      <c r="P490" s="5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 spans="1:28" ht="14.4" x14ac:dyDescent="0.3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55"/>
      <c r="N491" s="45"/>
      <c r="O491" s="45"/>
      <c r="P491" s="5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 spans="1:28" ht="14.4" x14ac:dyDescent="0.3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55"/>
      <c r="N492" s="45"/>
      <c r="O492" s="45"/>
      <c r="P492" s="5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 spans="1:28" ht="14.4" x14ac:dyDescent="0.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55"/>
      <c r="N493" s="45"/>
      <c r="O493" s="45"/>
      <c r="P493" s="5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 spans="1:28" ht="14.4" x14ac:dyDescent="0.3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55"/>
      <c r="N494" s="45"/>
      <c r="O494" s="45"/>
      <c r="P494" s="5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 spans="1:28" ht="14.4" x14ac:dyDescent="0.3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55"/>
      <c r="N495" s="45"/>
      <c r="O495" s="45"/>
      <c r="P495" s="5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 spans="1:28" ht="14.4" x14ac:dyDescent="0.3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55"/>
      <c r="N496" s="45"/>
      <c r="O496" s="45"/>
      <c r="P496" s="5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 spans="1:28" ht="14.4" x14ac:dyDescent="0.3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55"/>
      <c r="N497" s="45"/>
      <c r="O497" s="45"/>
      <c r="P497" s="5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 spans="1:28" ht="14.4" x14ac:dyDescent="0.3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55"/>
      <c r="N498" s="45"/>
      <c r="O498" s="45"/>
      <c r="P498" s="5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 spans="1:28" ht="14.4" x14ac:dyDescent="0.3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55"/>
      <c r="N499" s="45"/>
      <c r="O499" s="45"/>
      <c r="P499" s="5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 spans="1:28" ht="14.4" x14ac:dyDescent="0.3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55"/>
      <c r="N500" s="45"/>
      <c r="O500" s="45"/>
      <c r="P500" s="5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 spans="1:28" ht="14.4" x14ac:dyDescent="0.3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55"/>
      <c r="N501" s="45"/>
      <c r="O501" s="45"/>
      <c r="P501" s="5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 spans="1:28" ht="14.4" x14ac:dyDescent="0.3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55"/>
      <c r="N502" s="45"/>
      <c r="O502" s="45"/>
      <c r="P502" s="5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 spans="1:28" ht="14.4" x14ac:dyDescent="0.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55"/>
      <c r="N503" s="45"/>
      <c r="O503" s="45"/>
      <c r="P503" s="5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 spans="1:28" ht="14.4" x14ac:dyDescent="0.3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55"/>
      <c r="N504" s="45"/>
      <c r="O504" s="45"/>
      <c r="P504" s="5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 spans="1:28" ht="14.4" x14ac:dyDescent="0.3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55"/>
      <c r="N505" s="45"/>
      <c r="O505" s="45"/>
      <c r="P505" s="5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 spans="1:28" ht="14.4" x14ac:dyDescent="0.3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55"/>
      <c r="N506" s="45"/>
      <c r="O506" s="45"/>
      <c r="P506" s="5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 spans="1:28" ht="14.4" x14ac:dyDescent="0.3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55"/>
      <c r="N507" s="45"/>
      <c r="O507" s="45"/>
      <c r="P507" s="5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 spans="1:28" ht="14.4" x14ac:dyDescent="0.3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55"/>
      <c r="N508" s="45"/>
      <c r="O508" s="45"/>
      <c r="P508" s="5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 spans="1:28" ht="14.4" x14ac:dyDescent="0.3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55"/>
      <c r="N509" s="45"/>
      <c r="O509" s="45"/>
      <c r="P509" s="5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 spans="1:28" ht="14.4" x14ac:dyDescent="0.3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55"/>
      <c r="N510" s="45"/>
      <c r="O510" s="45"/>
      <c r="P510" s="5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 spans="1:28" ht="14.4" x14ac:dyDescent="0.3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55"/>
      <c r="N511" s="45"/>
      <c r="O511" s="45"/>
      <c r="P511" s="5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ht="14.4" x14ac:dyDescent="0.3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55"/>
      <c r="N512" s="45"/>
      <c r="O512" s="45"/>
      <c r="P512" s="5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ht="14.4" x14ac:dyDescent="0.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55"/>
      <c r="N513" s="45"/>
      <c r="O513" s="45"/>
      <c r="P513" s="5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 spans="1:28" ht="14.4" x14ac:dyDescent="0.3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55"/>
      <c r="N514" s="45"/>
      <c r="O514" s="45"/>
      <c r="P514" s="5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 spans="1:28" ht="14.4" x14ac:dyDescent="0.3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55"/>
      <c r="N515" s="45"/>
      <c r="O515" s="45"/>
      <c r="P515" s="5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 spans="1:28" ht="14.4" x14ac:dyDescent="0.3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55"/>
      <c r="N516" s="45"/>
      <c r="O516" s="45"/>
      <c r="P516" s="5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 spans="1:28" ht="14.4" x14ac:dyDescent="0.3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55"/>
      <c r="N517" s="45"/>
      <c r="O517" s="45"/>
      <c r="P517" s="5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 spans="1:28" ht="14.4" x14ac:dyDescent="0.3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55"/>
      <c r="N518" s="45"/>
      <c r="O518" s="45"/>
      <c r="P518" s="5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 spans="1:28" ht="14.4" x14ac:dyDescent="0.3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55"/>
      <c r="N519" s="45"/>
      <c r="O519" s="45"/>
      <c r="P519" s="5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 spans="1:28" ht="14.4" x14ac:dyDescent="0.3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55"/>
      <c r="N520" s="45"/>
      <c r="O520" s="45"/>
      <c r="P520" s="5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 spans="1:28" ht="14.4" x14ac:dyDescent="0.3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55"/>
      <c r="N521" s="45"/>
      <c r="O521" s="45"/>
      <c r="P521" s="5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 spans="1:28" ht="14.4" x14ac:dyDescent="0.3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55"/>
      <c r="N522" s="45"/>
      <c r="O522" s="45"/>
      <c r="P522" s="5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 spans="1:28" ht="14.4" x14ac:dyDescent="0.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55"/>
      <c r="N523" s="45"/>
      <c r="O523" s="45"/>
      <c r="P523" s="5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 spans="1:28" ht="14.4" x14ac:dyDescent="0.3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55"/>
      <c r="N524" s="45"/>
      <c r="O524" s="45"/>
      <c r="P524" s="5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 spans="1:28" ht="14.4" x14ac:dyDescent="0.3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55"/>
      <c r="N525" s="45"/>
      <c r="O525" s="45"/>
      <c r="P525" s="5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 spans="1:28" ht="14.4" x14ac:dyDescent="0.3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55"/>
      <c r="N526" s="45"/>
      <c r="O526" s="45"/>
      <c r="P526" s="5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 spans="1:28" ht="14.4" x14ac:dyDescent="0.3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55"/>
      <c r="N527" s="45"/>
      <c r="O527" s="45"/>
      <c r="P527" s="5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 spans="1:28" ht="14.4" x14ac:dyDescent="0.3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55"/>
      <c r="N528" s="45"/>
      <c r="O528" s="45"/>
      <c r="P528" s="5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 spans="1:28" ht="14.4" x14ac:dyDescent="0.3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55"/>
      <c r="N529" s="45"/>
      <c r="O529" s="45"/>
      <c r="P529" s="5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 spans="1:28" ht="14.4" x14ac:dyDescent="0.3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55"/>
      <c r="N530" s="45"/>
      <c r="O530" s="45"/>
      <c r="P530" s="5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 spans="1:28" ht="14.4" x14ac:dyDescent="0.3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55"/>
      <c r="N531" s="45"/>
      <c r="O531" s="45"/>
      <c r="P531" s="5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 spans="1:28" ht="14.4" x14ac:dyDescent="0.3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55"/>
      <c r="N532" s="45"/>
      <c r="O532" s="45"/>
      <c r="P532" s="5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 spans="1:28" ht="14.4" x14ac:dyDescent="0.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55"/>
      <c r="N533" s="45"/>
      <c r="O533" s="45"/>
      <c r="P533" s="5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 spans="1:28" ht="14.4" x14ac:dyDescent="0.3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55"/>
      <c r="N534" s="45"/>
      <c r="O534" s="45"/>
      <c r="P534" s="5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 spans="1:28" ht="14.4" x14ac:dyDescent="0.3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55"/>
      <c r="N535" s="45"/>
      <c r="O535" s="45"/>
      <c r="P535" s="5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 spans="1:28" ht="14.4" x14ac:dyDescent="0.3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55"/>
      <c r="N536" s="45"/>
      <c r="O536" s="45"/>
      <c r="P536" s="5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 spans="1:28" ht="14.4" x14ac:dyDescent="0.3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55"/>
      <c r="N537" s="45"/>
      <c r="O537" s="45"/>
      <c r="P537" s="5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 spans="1:28" ht="14.4" x14ac:dyDescent="0.3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55"/>
      <c r="N538" s="45"/>
      <c r="O538" s="45"/>
      <c r="P538" s="5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 spans="1:28" ht="14.4" x14ac:dyDescent="0.3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55"/>
      <c r="N539" s="45"/>
      <c r="O539" s="45"/>
      <c r="P539" s="5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 spans="1:28" ht="14.4" x14ac:dyDescent="0.3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55"/>
      <c r="N540" s="45"/>
      <c r="O540" s="45"/>
      <c r="P540" s="5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 spans="1:28" ht="14.4" x14ac:dyDescent="0.3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55"/>
      <c r="N541" s="45"/>
      <c r="O541" s="45"/>
      <c r="P541" s="5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 spans="1:28" ht="14.4" x14ac:dyDescent="0.3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55"/>
      <c r="N542" s="45"/>
      <c r="O542" s="45"/>
      <c r="P542" s="5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 spans="1:28" ht="14.4" x14ac:dyDescent="0.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55"/>
      <c r="N543" s="45"/>
      <c r="O543" s="45"/>
      <c r="P543" s="5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 spans="1:28" ht="14.4" x14ac:dyDescent="0.3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55"/>
      <c r="N544" s="45"/>
      <c r="O544" s="45"/>
      <c r="P544" s="5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 spans="1:28" ht="14.4" x14ac:dyDescent="0.3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55"/>
      <c r="N545" s="45"/>
      <c r="O545" s="45"/>
      <c r="P545" s="5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 spans="1:28" ht="14.4" x14ac:dyDescent="0.3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55"/>
      <c r="N546" s="45"/>
      <c r="O546" s="45"/>
      <c r="P546" s="5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 spans="1:28" ht="14.4" x14ac:dyDescent="0.3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55"/>
      <c r="N547" s="45"/>
      <c r="O547" s="45"/>
      <c r="P547" s="5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 spans="1:28" ht="14.4" x14ac:dyDescent="0.3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55"/>
      <c r="N548" s="45"/>
      <c r="O548" s="45"/>
      <c r="P548" s="5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 spans="1:28" ht="14.4" x14ac:dyDescent="0.3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55"/>
      <c r="N549" s="45"/>
      <c r="O549" s="45"/>
      <c r="P549" s="5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 spans="1:28" ht="14.4" x14ac:dyDescent="0.3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55"/>
      <c r="N550" s="45"/>
      <c r="O550" s="45"/>
      <c r="P550" s="5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 spans="1:28" ht="14.4" x14ac:dyDescent="0.3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55"/>
      <c r="N551" s="45"/>
      <c r="O551" s="45"/>
      <c r="P551" s="5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 spans="1:28" ht="14.4" x14ac:dyDescent="0.3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55"/>
      <c r="N552" s="45"/>
      <c r="O552" s="45"/>
      <c r="P552" s="5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 spans="1:28" ht="14.4" x14ac:dyDescent="0.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55"/>
      <c r="N553" s="45"/>
      <c r="O553" s="45"/>
      <c r="P553" s="5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 spans="1:28" ht="14.4" x14ac:dyDescent="0.3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55"/>
      <c r="N554" s="45"/>
      <c r="O554" s="45"/>
      <c r="P554" s="5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 spans="1:28" ht="14.4" x14ac:dyDescent="0.3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55"/>
      <c r="N555" s="45"/>
      <c r="O555" s="45"/>
      <c r="P555" s="5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 spans="1:28" ht="14.4" x14ac:dyDescent="0.3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55"/>
      <c r="N556" s="45"/>
      <c r="O556" s="45"/>
      <c r="P556" s="5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 spans="1:28" ht="14.4" x14ac:dyDescent="0.3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55"/>
      <c r="N557" s="45"/>
      <c r="O557" s="45"/>
      <c r="P557" s="5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 spans="1:28" ht="14.4" x14ac:dyDescent="0.3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55"/>
      <c r="N558" s="45"/>
      <c r="O558" s="45"/>
      <c r="P558" s="5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 spans="1:28" ht="14.4" x14ac:dyDescent="0.3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55"/>
      <c r="N559" s="45"/>
      <c r="O559" s="45"/>
      <c r="P559" s="5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 spans="1:28" ht="14.4" x14ac:dyDescent="0.3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55"/>
      <c r="N560" s="45"/>
      <c r="O560" s="45"/>
      <c r="P560" s="5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 spans="1:28" ht="14.4" x14ac:dyDescent="0.3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55"/>
      <c r="N561" s="45"/>
      <c r="O561" s="45"/>
      <c r="P561" s="5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 spans="1:28" ht="14.4" x14ac:dyDescent="0.3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55"/>
      <c r="N562" s="45"/>
      <c r="O562" s="45"/>
      <c r="P562" s="5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 spans="1:28" ht="14.4" x14ac:dyDescent="0.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55"/>
      <c r="N563" s="45"/>
      <c r="O563" s="45"/>
      <c r="P563" s="5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 spans="1:28" ht="14.4" x14ac:dyDescent="0.3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55"/>
      <c r="N564" s="45"/>
      <c r="O564" s="45"/>
      <c r="P564" s="5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 spans="1:28" ht="14.4" x14ac:dyDescent="0.3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55"/>
      <c r="N565" s="45"/>
      <c r="O565" s="45"/>
      <c r="P565" s="5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 spans="1:28" ht="14.4" x14ac:dyDescent="0.3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55"/>
      <c r="N566" s="45"/>
      <c r="O566" s="45"/>
      <c r="P566" s="5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 spans="1:28" ht="14.4" x14ac:dyDescent="0.3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55"/>
      <c r="N567" s="45"/>
      <c r="O567" s="45"/>
      <c r="P567" s="5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 spans="1:28" ht="14.4" x14ac:dyDescent="0.3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55"/>
      <c r="N568" s="45"/>
      <c r="O568" s="45"/>
      <c r="P568" s="5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 spans="1:28" ht="14.4" x14ac:dyDescent="0.3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55"/>
      <c r="N569" s="45"/>
      <c r="O569" s="45"/>
      <c r="P569" s="5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 spans="1:28" ht="14.4" x14ac:dyDescent="0.3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55"/>
      <c r="N570" s="45"/>
      <c r="O570" s="45"/>
      <c r="P570" s="5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 spans="1:28" ht="14.4" x14ac:dyDescent="0.3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55"/>
      <c r="N571" s="45"/>
      <c r="O571" s="45"/>
      <c r="P571" s="5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 spans="1:28" ht="14.4" x14ac:dyDescent="0.3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55"/>
      <c r="N572" s="45"/>
      <c r="O572" s="45"/>
      <c r="P572" s="5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 spans="1:28" ht="14.4" x14ac:dyDescent="0.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55"/>
      <c r="N573" s="45"/>
      <c r="O573" s="45"/>
      <c r="P573" s="5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 spans="1:28" ht="14.4" x14ac:dyDescent="0.3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55"/>
      <c r="N574" s="45"/>
      <c r="O574" s="45"/>
      <c r="P574" s="5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 spans="1:28" ht="14.4" x14ac:dyDescent="0.3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55"/>
      <c r="N575" s="45"/>
      <c r="O575" s="45"/>
      <c r="P575" s="5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 spans="1:28" ht="14.4" x14ac:dyDescent="0.3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55"/>
      <c r="N576" s="45"/>
      <c r="O576" s="45"/>
      <c r="P576" s="5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 spans="1:28" ht="14.4" x14ac:dyDescent="0.3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55"/>
      <c r="N577" s="45"/>
      <c r="O577" s="45"/>
      <c r="P577" s="5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 spans="1:28" ht="14.4" x14ac:dyDescent="0.3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55"/>
      <c r="N578" s="45"/>
      <c r="O578" s="45"/>
      <c r="P578" s="5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 spans="1:28" ht="14.4" x14ac:dyDescent="0.3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55"/>
      <c r="N579" s="45"/>
      <c r="O579" s="45"/>
      <c r="P579" s="5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 spans="1:28" ht="14.4" x14ac:dyDescent="0.3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55"/>
      <c r="N580" s="45"/>
      <c r="O580" s="45"/>
      <c r="P580" s="5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 spans="1:28" ht="14.4" x14ac:dyDescent="0.3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55"/>
      <c r="N581" s="45"/>
      <c r="O581" s="45"/>
      <c r="P581" s="5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 spans="1:28" ht="14.4" x14ac:dyDescent="0.3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55"/>
      <c r="N582" s="45"/>
      <c r="O582" s="45"/>
      <c r="P582" s="5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 spans="1:28" ht="14.4" x14ac:dyDescent="0.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55"/>
      <c r="N583" s="45"/>
      <c r="O583" s="45"/>
      <c r="P583" s="5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 spans="1:28" ht="14.4" x14ac:dyDescent="0.3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55"/>
      <c r="N584" s="45"/>
      <c r="O584" s="45"/>
      <c r="P584" s="5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 spans="1:28" ht="14.4" x14ac:dyDescent="0.3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55"/>
      <c r="N585" s="45"/>
      <c r="O585" s="45"/>
      <c r="P585" s="5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 spans="1:28" ht="14.4" x14ac:dyDescent="0.3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55"/>
      <c r="N586" s="45"/>
      <c r="O586" s="45"/>
      <c r="P586" s="5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 spans="1:28" ht="14.4" x14ac:dyDescent="0.3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55"/>
      <c r="N587" s="45"/>
      <c r="O587" s="45"/>
      <c r="P587" s="5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 spans="1:28" ht="14.4" x14ac:dyDescent="0.3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55"/>
      <c r="N588" s="45"/>
      <c r="O588" s="45"/>
      <c r="P588" s="5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 spans="1:28" ht="14.4" x14ac:dyDescent="0.3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55"/>
      <c r="N589" s="45"/>
      <c r="O589" s="45"/>
      <c r="P589" s="5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 spans="1:28" ht="14.4" x14ac:dyDescent="0.3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55"/>
      <c r="N590" s="45"/>
      <c r="O590" s="45"/>
      <c r="P590" s="5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 spans="1:28" ht="14.4" x14ac:dyDescent="0.3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55"/>
      <c r="N591" s="45"/>
      <c r="O591" s="45"/>
      <c r="P591" s="5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 spans="1:28" ht="14.4" x14ac:dyDescent="0.3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55"/>
      <c r="N592" s="45"/>
      <c r="O592" s="45"/>
      <c r="P592" s="5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 spans="1:28" ht="14.4" x14ac:dyDescent="0.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55"/>
      <c r="N593" s="45"/>
      <c r="O593" s="45"/>
      <c r="P593" s="5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 spans="1:28" ht="14.4" x14ac:dyDescent="0.3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55"/>
      <c r="N594" s="45"/>
      <c r="O594" s="45"/>
      <c r="P594" s="5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 spans="1:28" ht="14.4" x14ac:dyDescent="0.3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55"/>
      <c r="N595" s="45"/>
      <c r="O595" s="45"/>
      <c r="P595" s="5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 spans="1:28" ht="14.4" x14ac:dyDescent="0.3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55"/>
      <c r="N596" s="45"/>
      <c r="O596" s="45"/>
      <c r="P596" s="5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 spans="1:28" ht="14.4" x14ac:dyDescent="0.3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55"/>
      <c r="N597" s="45"/>
      <c r="O597" s="45"/>
      <c r="P597" s="5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 spans="1:28" ht="14.4" x14ac:dyDescent="0.3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55"/>
      <c r="N598" s="45"/>
      <c r="O598" s="45"/>
      <c r="P598" s="5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 spans="1:28" ht="14.4" x14ac:dyDescent="0.3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55"/>
      <c r="N599" s="45"/>
      <c r="O599" s="45"/>
      <c r="P599" s="5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 spans="1:28" ht="14.4" x14ac:dyDescent="0.3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55"/>
      <c r="N600" s="45"/>
      <c r="O600" s="45"/>
      <c r="P600" s="5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 spans="1:28" ht="14.4" x14ac:dyDescent="0.3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55"/>
      <c r="N601" s="45"/>
      <c r="O601" s="45"/>
      <c r="P601" s="5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 spans="1:28" ht="14.4" x14ac:dyDescent="0.3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55"/>
      <c r="N602" s="45"/>
      <c r="O602" s="45"/>
      <c r="P602" s="5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 spans="1:28" ht="14.4" x14ac:dyDescent="0.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55"/>
      <c r="N603" s="45"/>
      <c r="O603" s="45"/>
      <c r="P603" s="5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 spans="1:28" ht="14.4" x14ac:dyDescent="0.3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55"/>
      <c r="N604" s="45"/>
      <c r="O604" s="45"/>
      <c r="P604" s="5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 spans="1:28" ht="14.4" x14ac:dyDescent="0.3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55"/>
      <c r="N605" s="45"/>
      <c r="O605" s="45"/>
      <c r="P605" s="5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 spans="1:28" ht="14.4" x14ac:dyDescent="0.3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55"/>
      <c r="N606" s="45"/>
      <c r="O606" s="45"/>
      <c r="P606" s="5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 spans="1:28" ht="14.4" x14ac:dyDescent="0.3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55"/>
      <c r="N607" s="45"/>
      <c r="O607" s="45"/>
      <c r="P607" s="5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 spans="1:28" ht="14.4" x14ac:dyDescent="0.3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55"/>
      <c r="N608" s="45"/>
      <c r="O608" s="45"/>
      <c r="P608" s="5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 spans="1:28" ht="14.4" x14ac:dyDescent="0.3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55"/>
      <c r="N609" s="45"/>
      <c r="O609" s="45"/>
      <c r="P609" s="5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 spans="1:28" ht="14.4" x14ac:dyDescent="0.3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55"/>
      <c r="N610" s="45"/>
      <c r="O610" s="45"/>
      <c r="P610" s="5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 spans="1:28" ht="14.4" x14ac:dyDescent="0.3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55"/>
      <c r="N611" s="45"/>
      <c r="O611" s="45"/>
      <c r="P611" s="5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 spans="1:28" ht="14.4" x14ac:dyDescent="0.3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55"/>
      <c r="N612" s="45"/>
      <c r="O612" s="45"/>
      <c r="P612" s="5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 spans="1:28" ht="14.4" x14ac:dyDescent="0.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55"/>
      <c r="N613" s="45"/>
      <c r="O613" s="45"/>
      <c r="P613" s="5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 spans="1:28" ht="14.4" x14ac:dyDescent="0.3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55"/>
      <c r="N614" s="45"/>
      <c r="O614" s="45"/>
      <c r="P614" s="5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 spans="1:28" ht="14.4" x14ac:dyDescent="0.3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55"/>
      <c r="N615" s="45"/>
      <c r="O615" s="45"/>
      <c r="P615" s="5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 spans="1:28" ht="14.4" x14ac:dyDescent="0.3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55"/>
      <c r="N616" s="45"/>
      <c r="O616" s="45"/>
      <c r="P616" s="5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 spans="1:28" ht="14.4" x14ac:dyDescent="0.3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55"/>
      <c r="N617" s="45"/>
      <c r="O617" s="45"/>
      <c r="P617" s="5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 spans="1:28" ht="14.4" x14ac:dyDescent="0.3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55"/>
      <c r="N618" s="45"/>
      <c r="O618" s="45"/>
      <c r="P618" s="5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 spans="1:28" ht="14.4" x14ac:dyDescent="0.3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55"/>
      <c r="N619" s="45"/>
      <c r="O619" s="45"/>
      <c r="P619" s="5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 spans="1:28" ht="14.4" x14ac:dyDescent="0.3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55"/>
      <c r="N620" s="45"/>
      <c r="O620" s="45"/>
      <c r="P620" s="5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 spans="1:28" ht="14.4" x14ac:dyDescent="0.3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55"/>
      <c r="N621" s="45"/>
      <c r="O621" s="45"/>
      <c r="P621" s="5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 spans="1:28" ht="14.4" x14ac:dyDescent="0.3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55"/>
      <c r="N622" s="45"/>
      <c r="O622" s="45"/>
      <c r="P622" s="5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 spans="1:28" ht="14.4" x14ac:dyDescent="0.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55"/>
      <c r="N623" s="45"/>
      <c r="O623" s="45"/>
      <c r="P623" s="5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 spans="1:28" ht="14.4" x14ac:dyDescent="0.3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55"/>
      <c r="N624" s="45"/>
      <c r="O624" s="45"/>
      <c r="P624" s="5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 spans="1:28" ht="14.4" x14ac:dyDescent="0.3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55"/>
      <c r="N625" s="45"/>
      <c r="O625" s="45"/>
      <c r="P625" s="5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 spans="1:28" ht="14.4" x14ac:dyDescent="0.3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55"/>
      <c r="N626" s="45"/>
      <c r="O626" s="45"/>
      <c r="P626" s="5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 spans="1:28" ht="14.4" x14ac:dyDescent="0.3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55"/>
      <c r="N627" s="45"/>
      <c r="O627" s="45"/>
      <c r="P627" s="5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 spans="1:28" ht="14.4" x14ac:dyDescent="0.3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55"/>
      <c r="N628" s="45"/>
      <c r="O628" s="45"/>
      <c r="P628" s="5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 spans="1:28" ht="14.4" x14ac:dyDescent="0.3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55"/>
      <c r="N629" s="45"/>
      <c r="O629" s="45"/>
      <c r="P629" s="5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 spans="1:28" ht="14.4" x14ac:dyDescent="0.3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55"/>
      <c r="N630" s="45"/>
      <c r="O630" s="45"/>
      <c r="P630" s="5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 spans="1:28" ht="14.4" x14ac:dyDescent="0.3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55"/>
      <c r="N631" s="45"/>
      <c r="O631" s="45"/>
      <c r="P631" s="5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 spans="1:28" ht="14.4" x14ac:dyDescent="0.3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55"/>
      <c r="N632" s="45"/>
      <c r="O632" s="45"/>
      <c r="P632" s="5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 spans="1:28" ht="14.4" x14ac:dyDescent="0.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55"/>
      <c r="N633" s="45"/>
      <c r="O633" s="45"/>
      <c r="P633" s="5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 spans="1:28" ht="14.4" x14ac:dyDescent="0.3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55"/>
      <c r="N634" s="45"/>
      <c r="O634" s="45"/>
      <c r="P634" s="5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 spans="1:28" ht="14.4" x14ac:dyDescent="0.3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55"/>
      <c r="N635" s="45"/>
      <c r="O635" s="45"/>
      <c r="P635" s="5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 spans="1:28" ht="14.4" x14ac:dyDescent="0.3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55"/>
      <c r="N636" s="45"/>
      <c r="O636" s="45"/>
      <c r="P636" s="5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 spans="1:28" ht="14.4" x14ac:dyDescent="0.3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55"/>
      <c r="N637" s="45"/>
      <c r="O637" s="45"/>
      <c r="P637" s="5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 spans="1:28" ht="14.4" x14ac:dyDescent="0.3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55"/>
      <c r="N638" s="45"/>
      <c r="O638" s="45"/>
      <c r="P638" s="5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 spans="1:28" ht="14.4" x14ac:dyDescent="0.3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55"/>
      <c r="N639" s="45"/>
      <c r="O639" s="45"/>
      <c r="P639" s="5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 spans="1:28" ht="14.4" x14ac:dyDescent="0.3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55"/>
      <c r="N640" s="45"/>
      <c r="O640" s="45"/>
      <c r="P640" s="5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 spans="1:28" ht="14.4" x14ac:dyDescent="0.3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55"/>
      <c r="N641" s="45"/>
      <c r="O641" s="45"/>
      <c r="P641" s="5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 spans="1:28" ht="14.4" x14ac:dyDescent="0.3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55"/>
      <c r="N642" s="45"/>
      <c r="O642" s="45"/>
      <c r="P642" s="5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 spans="1:28" ht="14.4" x14ac:dyDescent="0.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55"/>
      <c r="N643" s="45"/>
      <c r="O643" s="45"/>
      <c r="P643" s="5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 spans="1:28" ht="14.4" x14ac:dyDescent="0.3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55"/>
      <c r="N644" s="45"/>
      <c r="O644" s="45"/>
      <c r="P644" s="5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 spans="1:28" ht="14.4" x14ac:dyDescent="0.3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55"/>
      <c r="N645" s="45"/>
      <c r="O645" s="45"/>
      <c r="P645" s="5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 spans="1:28" ht="14.4" x14ac:dyDescent="0.3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55"/>
      <c r="N646" s="45"/>
      <c r="O646" s="45"/>
      <c r="P646" s="5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 spans="1:28" ht="14.4" x14ac:dyDescent="0.3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55"/>
      <c r="N647" s="45"/>
      <c r="O647" s="45"/>
      <c r="P647" s="5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 spans="1:28" ht="14.4" x14ac:dyDescent="0.3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55"/>
      <c r="N648" s="45"/>
      <c r="O648" s="45"/>
      <c r="P648" s="5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 spans="1:28" ht="14.4" x14ac:dyDescent="0.3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55"/>
      <c r="N649" s="45"/>
      <c r="O649" s="45"/>
      <c r="P649" s="5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 spans="1:28" ht="14.4" x14ac:dyDescent="0.3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55"/>
      <c r="N650" s="45"/>
      <c r="O650" s="45"/>
      <c r="P650" s="5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 spans="1:28" ht="14.4" x14ac:dyDescent="0.3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55"/>
      <c r="N651" s="45"/>
      <c r="O651" s="45"/>
      <c r="P651" s="5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 spans="1:28" ht="14.4" x14ac:dyDescent="0.3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55"/>
      <c r="N652" s="45"/>
      <c r="O652" s="45"/>
      <c r="P652" s="5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 spans="1:28" ht="14.4" x14ac:dyDescent="0.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55"/>
      <c r="N653" s="45"/>
      <c r="O653" s="45"/>
      <c r="P653" s="5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 spans="1:28" ht="14.4" x14ac:dyDescent="0.3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55"/>
      <c r="N654" s="45"/>
      <c r="O654" s="45"/>
      <c r="P654" s="5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 spans="1:28" ht="14.4" x14ac:dyDescent="0.3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55"/>
      <c r="N655" s="45"/>
      <c r="O655" s="45"/>
      <c r="P655" s="5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 spans="1:28" ht="14.4" x14ac:dyDescent="0.3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55"/>
      <c r="N656" s="45"/>
      <c r="O656" s="45"/>
      <c r="P656" s="5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 spans="1:28" ht="14.4" x14ac:dyDescent="0.3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55"/>
      <c r="N657" s="45"/>
      <c r="O657" s="45"/>
      <c r="P657" s="5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 spans="1:28" ht="14.4" x14ac:dyDescent="0.3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55"/>
      <c r="N658" s="45"/>
      <c r="O658" s="45"/>
      <c r="P658" s="5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 spans="1:28" ht="14.4" x14ac:dyDescent="0.3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55"/>
      <c r="N659" s="45"/>
      <c r="O659" s="45"/>
      <c r="P659" s="5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 spans="1:28" ht="14.4" x14ac:dyDescent="0.3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55"/>
      <c r="N660" s="45"/>
      <c r="O660" s="45"/>
      <c r="P660" s="5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 spans="1:28" ht="14.4" x14ac:dyDescent="0.3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55"/>
      <c r="N661" s="45"/>
      <c r="O661" s="45"/>
      <c r="P661" s="5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 spans="1:28" ht="14.4" x14ac:dyDescent="0.3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55"/>
      <c r="N662" s="45"/>
      <c r="O662" s="45"/>
      <c r="P662" s="5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 spans="1:28" ht="14.4" x14ac:dyDescent="0.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55"/>
      <c r="N663" s="45"/>
      <c r="O663" s="45"/>
      <c r="P663" s="5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 spans="1:28" ht="14.4" x14ac:dyDescent="0.3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55"/>
      <c r="N664" s="45"/>
      <c r="O664" s="45"/>
      <c r="P664" s="5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 spans="1:28" ht="14.4" x14ac:dyDescent="0.3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55"/>
      <c r="N665" s="45"/>
      <c r="O665" s="45"/>
      <c r="P665" s="5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 spans="1:28" ht="14.4" x14ac:dyDescent="0.3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55"/>
      <c r="N666" s="45"/>
      <c r="O666" s="45"/>
      <c r="P666" s="5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 spans="1:28" ht="14.4" x14ac:dyDescent="0.3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55"/>
      <c r="N667" s="45"/>
      <c r="O667" s="45"/>
      <c r="P667" s="5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 spans="1:28" ht="14.4" x14ac:dyDescent="0.3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55"/>
      <c r="N668" s="45"/>
      <c r="O668" s="45"/>
      <c r="P668" s="5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 spans="1:28" ht="14.4" x14ac:dyDescent="0.3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55"/>
      <c r="N669" s="45"/>
      <c r="O669" s="45"/>
      <c r="P669" s="5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 spans="1:28" ht="14.4" x14ac:dyDescent="0.3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55"/>
      <c r="N670" s="45"/>
      <c r="O670" s="45"/>
      <c r="P670" s="5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 spans="1:28" ht="14.4" x14ac:dyDescent="0.3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55"/>
      <c r="N671" s="45"/>
      <c r="O671" s="45"/>
      <c r="P671" s="5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 spans="1:28" ht="14.4" x14ac:dyDescent="0.3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55"/>
      <c r="N672" s="45"/>
      <c r="O672" s="45"/>
      <c r="P672" s="5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 spans="1:28" ht="14.4" x14ac:dyDescent="0.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55"/>
      <c r="N673" s="45"/>
      <c r="O673" s="45"/>
      <c r="P673" s="5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 spans="1:28" ht="14.4" x14ac:dyDescent="0.3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55"/>
      <c r="N674" s="45"/>
      <c r="O674" s="45"/>
      <c r="P674" s="5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 spans="1:28" ht="14.4" x14ac:dyDescent="0.3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55"/>
      <c r="N675" s="45"/>
      <c r="O675" s="45"/>
      <c r="P675" s="5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 spans="1:28" ht="14.4" x14ac:dyDescent="0.3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55"/>
      <c r="N676" s="45"/>
      <c r="O676" s="45"/>
      <c r="P676" s="5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 spans="1:28" ht="14.4" x14ac:dyDescent="0.3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55"/>
      <c r="N677" s="45"/>
      <c r="O677" s="45"/>
      <c r="P677" s="5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 spans="1:28" ht="14.4" x14ac:dyDescent="0.3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55"/>
      <c r="N678" s="45"/>
      <c r="O678" s="45"/>
      <c r="P678" s="5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 spans="1:28" ht="14.4" x14ac:dyDescent="0.3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55"/>
      <c r="N679" s="45"/>
      <c r="O679" s="45"/>
      <c r="P679" s="5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 spans="1:28" ht="14.4" x14ac:dyDescent="0.3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55"/>
      <c r="N680" s="45"/>
      <c r="O680" s="45"/>
      <c r="P680" s="5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 spans="1:28" ht="14.4" x14ac:dyDescent="0.3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55"/>
      <c r="N681" s="45"/>
      <c r="O681" s="45"/>
      <c r="P681" s="5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 spans="1:28" ht="14.4" x14ac:dyDescent="0.3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55"/>
      <c r="N682" s="45"/>
      <c r="O682" s="45"/>
      <c r="P682" s="5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 spans="1:28" ht="14.4" x14ac:dyDescent="0.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55"/>
      <c r="N683" s="45"/>
      <c r="O683" s="45"/>
      <c r="P683" s="5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 spans="1:28" ht="14.4" x14ac:dyDescent="0.3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55"/>
      <c r="N684" s="45"/>
      <c r="O684" s="45"/>
      <c r="P684" s="5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 spans="1:28" ht="14.4" x14ac:dyDescent="0.3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55"/>
      <c r="N685" s="45"/>
      <c r="O685" s="45"/>
      <c r="P685" s="5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 spans="1:28" ht="14.4" x14ac:dyDescent="0.3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55"/>
      <c r="N686" s="45"/>
      <c r="O686" s="45"/>
      <c r="P686" s="5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 spans="1:28" ht="14.4" x14ac:dyDescent="0.3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55"/>
      <c r="N687" s="45"/>
      <c r="O687" s="45"/>
      <c r="P687" s="5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 spans="1:28" ht="14.4" x14ac:dyDescent="0.3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55"/>
      <c r="N688" s="45"/>
      <c r="O688" s="45"/>
      <c r="P688" s="5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 spans="1:28" ht="14.4" x14ac:dyDescent="0.3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55"/>
      <c r="N689" s="45"/>
      <c r="O689" s="45"/>
      <c r="P689" s="5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 spans="1:28" ht="14.4" x14ac:dyDescent="0.3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55"/>
      <c r="N690" s="45"/>
      <c r="O690" s="45"/>
      <c r="P690" s="5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 spans="1:28" ht="14.4" x14ac:dyDescent="0.3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55"/>
      <c r="N691" s="45"/>
      <c r="O691" s="45"/>
      <c r="P691" s="5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 spans="1:28" ht="14.4" x14ac:dyDescent="0.3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55"/>
      <c r="N692" s="45"/>
      <c r="O692" s="45"/>
      <c r="P692" s="5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 spans="1:28" ht="14.4" x14ac:dyDescent="0.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55"/>
      <c r="N693" s="45"/>
      <c r="O693" s="45"/>
      <c r="P693" s="5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 spans="1:28" ht="14.4" x14ac:dyDescent="0.3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55"/>
      <c r="N694" s="45"/>
      <c r="O694" s="45"/>
      <c r="P694" s="5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 spans="1:28" ht="14.4" x14ac:dyDescent="0.3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55"/>
      <c r="N695" s="45"/>
      <c r="O695" s="45"/>
      <c r="P695" s="5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 spans="1:28" ht="14.4" x14ac:dyDescent="0.3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55"/>
      <c r="N696" s="45"/>
      <c r="O696" s="45"/>
      <c r="P696" s="5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 spans="1:28" ht="14.4" x14ac:dyDescent="0.3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55"/>
      <c r="N697" s="45"/>
      <c r="O697" s="45"/>
      <c r="P697" s="5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 spans="1:28" ht="14.4" x14ac:dyDescent="0.3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55"/>
      <c r="N698" s="45"/>
      <c r="O698" s="45"/>
      <c r="P698" s="5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 spans="1:28" ht="14.4" x14ac:dyDescent="0.3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55"/>
      <c r="N699" s="45"/>
      <c r="O699" s="45"/>
      <c r="P699" s="5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 spans="1:28" ht="14.4" x14ac:dyDescent="0.3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55"/>
      <c r="N700" s="45"/>
      <c r="O700" s="45"/>
      <c r="P700" s="5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 spans="1:28" ht="14.4" x14ac:dyDescent="0.3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55"/>
      <c r="N701" s="45"/>
      <c r="O701" s="45"/>
      <c r="P701" s="5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 spans="1:28" ht="14.4" x14ac:dyDescent="0.3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55"/>
      <c r="N702" s="45"/>
      <c r="O702" s="45"/>
      <c r="P702" s="5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 spans="1:28" ht="14.4" x14ac:dyDescent="0.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55"/>
      <c r="N703" s="45"/>
      <c r="O703" s="45"/>
      <c r="P703" s="5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 spans="1:28" ht="14.4" x14ac:dyDescent="0.3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55"/>
      <c r="N704" s="45"/>
      <c r="O704" s="45"/>
      <c r="P704" s="5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 spans="1:28" ht="14.4" x14ac:dyDescent="0.3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55"/>
      <c r="N705" s="45"/>
      <c r="O705" s="45"/>
      <c r="P705" s="5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 spans="1:28" ht="14.4" x14ac:dyDescent="0.3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55"/>
      <c r="N706" s="45"/>
      <c r="O706" s="45"/>
      <c r="P706" s="5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 spans="1:28" ht="14.4" x14ac:dyDescent="0.3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55"/>
      <c r="N707" s="45"/>
      <c r="O707" s="45"/>
      <c r="P707" s="5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 spans="1:28" ht="14.4" x14ac:dyDescent="0.3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55"/>
      <c r="N708" s="45"/>
      <c r="O708" s="45"/>
      <c r="P708" s="5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 spans="1:28" ht="14.4" x14ac:dyDescent="0.3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55"/>
      <c r="N709" s="45"/>
      <c r="O709" s="45"/>
      <c r="P709" s="5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 spans="1:28" ht="14.4" x14ac:dyDescent="0.3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55"/>
      <c r="N710" s="45"/>
      <c r="O710" s="45"/>
      <c r="P710" s="5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 spans="1:28" ht="14.4" x14ac:dyDescent="0.3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55"/>
      <c r="N711" s="45"/>
      <c r="O711" s="45"/>
      <c r="P711" s="5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 spans="1:28" ht="14.4" x14ac:dyDescent="0.3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55"/>
      <c r="N712" s="45"/>
      <c r="O712" s="45"/>
      <c r="P712" s="5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 spans="1:28" ht="14.4" x14ac:dyDescent="0.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55"/>
      <c r="N713" s="45"/>
      <c r="O713" s="45"/>
      <c r="P713" s="5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 spans="1:28" ht="14.4" x14ac:dyDescent="0.3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55"/>
      <c r="N714" s="45"/>
      <c r="O714" s="45"/>
      <c r="P714" s="5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 spans="1:28" ht="14.4" x14ac:dyDescent="0.3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55"/>
      <c r="N715" s="45"/>
      <c r="O715" s="45"/>
      <c r="P715" s="5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 spans="1:28" ht="14.4" x14ac:dyDescent="0.3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55"/>
      <c r="N716" s="45"/>
      <c r="O716" s="45"/>
      <c r="P716" s="5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 spans="1:28" ht="14.4" x14ac:dyDescent="0.3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55"/>
      <c r="N717" s="45"/>
      <c r="O717" s="45"/>
      <c r="P717" s="5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 spans="1:28" ht="14.4" x14ac:dyDescent="0.3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55"/>
      <c r="N718" s="45"/>
      <c r="O718" s="45"/>
      <c r="P718" s="5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 spans="1:28" ht="14.4" x14ac:dyDescent="0.3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55"/>
      <c r="N719" s="45"/>
      <c r="O719" s="45"/>
      <c r="P719" s="5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 spans="1:28" ht="14.4" x14ac:dyDescent="0.3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55"/>
      <c r="N720" s="45"/>
      <c r="O720" s="45"/>
      <c r="P720" s="5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 spans="1:28" ht="14.4" x14ac:dyDescent="0.3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55"/>
      <c r="N721" s="45"/>
      <c r="O721" s="45"/>
      <c r="P721" s="5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 spans="1:28" ht="14.4" x14ac:dyDescent="0.3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55"/>
      <c r="N722" s="45"/>
      <c r="O722" s="45"/>
      <c r="P722" s="5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 spans="1:28" ht="14.4" x14ac:dyDescent="0.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55"/>
      <c r="N723" s="45"/>
      <c r="O723" s="45"/>
      <c r="P723" s="5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 spans="1:28" ht="14.4" x14ac:dyDescent="0.3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55"/>
      <c r="N724" s="45"/>
      <c r="O724" s="45"/>
      <c r="P724" s="5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 spans="1:28" ht="14.4" x14ac:dyDescent="0.3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55"/>
      <c r="N725" s="45"/>
      <c r="O725" s="45"/>
      <c r="P725" s="5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 spans="1:28" ht="14.4" x14ac:dyDescent="0.3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55"/>
      <c r="N726" s="45"/>
      <c r="O726" s="45"/>
      <c r="P726" s="5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 spans="1:28" ht="14.4" x14ac:dyDescent="0.3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55"/>
      <c r="N727" s="45"/>
      <c r="O727" s="45"/>
      <c r="P727" s="5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 spans="1:28" ht="14.4" x14ac:dyDescent="0.3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55"/>
      <c r="N728" s="45"/>
      <c r="O728" s="45"/>
      <c r="P728" s="5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 spans="1:28" ht="14.4" x14ac:dyDescent="0.3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55"/>
      <c r="N729" s="45"/>
      <c r="O729" s="45"/>
      <c r="P729" s="5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 spans="1:28" ht="14.4" x14ac:dyDescent="0.3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55"/>
      <c r="N730" s="45"/>
      <c r="O730" s="45"/>
      <c r="P730" s="5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 spans="1:28" ht="14.4" x14ac:dyDescent="0.3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55"/>
      <c r="N731" s="45"/>
      <c r="O731" s="45"/>
      <c r="P731" s="5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 spans="1:28" ht="14.4" x14ac:dyDescent="0.3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55"/>
      <c r="N732" s="45"/>
      <c r="O732" s="45"/>
      <c r="P732" s="5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 spans="1:28" ht="14.4" x14ac:dyDescent="0.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55"/>
      <c r="N733" s="45"/>
      <c r="O733" s="45"/>
      <c r="P733" s="5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 spans="1:28" ht="14.4" x14ac:dyDescent="0.3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55"/>
      <c r="N734" s="45"/>
      <c r="O734" s="45"/>
      <c r="P734" s="5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 spans="1:28" ht="14.4" x14ac:dyDescent="0.3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55"/>
      <c r="N735" s="45"/>
      <c r="O735" s="45"/>
      <c r="P735" s="5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 spans="1:28" ht="14.4" x14ac:dyDescent="0.3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55"/>
      <c r="N736" s="45"/>
      <c r="O736" s="45"/>
      <c r="P736" s="5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 spans="1:28" ht="14.4" x14ac:dyDescent="0.3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55"/>
      <c r="N737" s="45"/>
      <c r="O737" s="45"/>
      <c r="P737" s="5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 spans="1:28" ht="14.4" x14ac:dyDescent="0.3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55"/>
      <c r="N738" s="45"/>
      <c r="O738" s="45"/>
      <c r="P738" s="5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 spans="1:28" ht="14.4" x14ac:dyDescent="0.3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55"/>
      <c r="N739" s="45"/>
      <c r="O739" s="45"/>
      <c r="P739" s="5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 spans="1:28" ht="14.4" x14ac:dyDescent="0.3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55"/>
      <c r="N740" s="45"/>
      <c r="O740" s="45"/>
      <c r="P740" s="5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 spans="1:28" ht="14.4" x14ac:dyDescent="0.3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55"/>
      <c r="N741" s="45"/>
      <c r="O741" s="45"/>
      <c r="P741" s="5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 spans="1:28" ht="14.4" x14ac:dyDescent="0.3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55"/>
      <c r="N742" s="45"/>
      <c r="O742" s="45"/>
      <c r="P742" s="5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 spans="1:28" ht="14.4" x14ac:dyDescent="0.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55"/>
      <c r="N743" s="45"/>
      <c r="O743" s="45"/>
      <c r="P743" s="5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 spans="1:28" ht="14.4" x14ac:dyDescent="0.3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55"/>
      <c r="N744" s="45"/>
      <c r="O744" s="45"/>
      <c r="P744" s="5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 spans="1:28" ht="14.4" x14ac:dyDescent="0.3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55"/>
      <c r="N745" s="45"/>
      <c r="O745" s="45"/>
      <c r="P745" s="5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 spans="1:28" ht="14.4" x14ac:dyDescent="0.3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55"/>
      <c r="N746" s="45"/>
      <c r="O746" s="45"/>
      <c r="P746" s="5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 spans="1:28" ht="14.4" x14ac:dyDescent="0.3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55"/>
      <c r="N747" s="45"/>
      <c r="O747" s="45"/>
      <c r="P747" s="5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 spans="1:28" ht="14.4" x14ac:dyDescent="0.3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55"/>
      <c r="N748" s="45"/>
      <c r="O748" s="45"/>
      <c r="P748" s="5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 spans="1:28" ht="14.4" x14ac:dyDescent="0.3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55"/>
      <c r="N749" s="45"/>
      <c r="O749" s="45"/>
      <c r="P749" s="5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 spans="1:28" ht="14.4" x14ac:dyDescent="0.3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55"/>
      <c r="N750" s="45"/>
      <c r="O750" s="45"/>
      <c r="P750" s="5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 spans="1:28" ht="14.4" x14ac:dyDescent="0.3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55"/>
      <c r="N751" s="45"/>
      <c r="O751" s="45"/>
      <c r="P751" s="5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 spans="1:28" ht="14.4" x14ac:dyDescent="0.3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55"/>
      <c r="N752" s="45"/>
      <c r="O752" s="45"/>
      <c r="P752" s="5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 spans="1:28" ht="14.4" x14ac:dyDescent="0.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55"/>
      <c r="N753" s="45"/>
      <c r="O753" s="45"/>
      <c r="P753" s="5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 spans="1:28" ht="14.4" x14ac:dyDescent="0.3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55"/>
      <c r="N754" s="45"/>
      <c r="O754" s="45"/>
      <c r="P754" s="5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 spans="1:28" ht="14.4" x14ac:dyDescent="0.3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55"/>
      <c r="N755" s="45"/>
      <c r="O755" s="45"/>
      <c r="P755" s="5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 spans="1:28" ht="14.4" x14ac:dyDescent="0.3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55"/>
      <c r="N756" s="45"/>
      <c r="O756" s="45"/>
      <c r="P756" s="5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 spans="1:28" ht="14.4" x14ac:dyDescent="0.3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55"/>
      <c r="N757" s="45"/>
      <c r="O757" s="45"/>
      <c r="P757" s="5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 spans="1:28" ht="14.4" x14ac:dyDescent="0.3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55"/>
      <c r="N758" s="45"/>
      <c r="O758" s="45"/>
      <c r="P758" s="5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 spans="1:28" ht="14.4" x14ac:dyDescent="0.3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55"/>
      <c r="N759" s="45"/>
      <c r="O759" s="45"/>
      <c r="P759" s="5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 spans="1:28" ht="14.4" x14ac:dyDescent="0.3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55"/>
      <c r="N760" s="45"/>
      <c r="O760" s="45"/>
      <c r="P760" s="5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 spans="1:28" ht="14.4" x14ac:dyDescent="0.3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55"/>
      <c r="N761" s="45"/>
      <c r="O761" s="45"/>
      <c r="P761" s="5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 spans="1:28" ht="14.4" x14ac:dyDescent="0.3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55"/>
      <c r="N762" s="45"/>
      <c r="O762" s="45"/>
      <c r="P762" s="5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 spans="1:28" ht="14.4" x14ac:dyDescent="0.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55"/>
      <c r="N763" s="45"/>
      <c r="O763" s="45"/>
      <c r="P763" s="5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 spans="1:28" ht="14.4" x14ac:dyDescent="0.3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55"/>
      <c r="N764" s="45"/>
      <c r="O764" s="45"/>
      <c r="P764" s="5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 spans="1:28" ht="14.4" x14ac:dyDescent="0.3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55"/>
      <c r="N765" s="45"/>
      <c r="O765" s="45"/>
      <c r="P765" s="5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 spans="1:28" ht="14.4" x14ac:dyDescent="0.3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55"/>
      <c r="N766" s="45"/>
      <c r="O766" s="45"/>
      <c r="P766" s="5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 spans="1:28" ht="14.4" x14ac:dyDescent="0.3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55"/>
      <c r="N767" s="45"/>
      <c r="O767" s="45"/>
      <c r="P767" s="5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 spans="1:28" ht="14.4" x14ac:dyDescent="0.3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55"/>
      <c r="N768" s="45"/>
      <c r="O768" s="45"/>
      <c r="P768" s="5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 spans="1:28" ht="14.4" x14ac:dyDescent="0.3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55"/>
      <c r="N769" s="45"/>
      <c r="O769" s="45"/>
      <c r="P769" s="5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 spans="1:28" ht="14.4" x14ac:dyDescent="0.3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55"/>
      <c r="N770" s="45"/>
      <c r="O770" s="45"/>
      <c r="P770" s="5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 spans="1:28" ht="14.4" x14ac:dyDescent="0.3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55"/>
      <c r="N771" s="45"/>
      <c r="O771" s="45"/>
      <c r="P771" s="5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 spans="1:28" ht="14.4" x14ac:dyDescent="0.3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55"/>
      <c r="N772" s="45"/>
      <c r="O772" s="45"/>
      <c r="P772" s="5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 spans="1:28" ht="14.4" x14ac:dyDescent="0.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55"/>
      <c r="N773" s="45"/>
      <c r="O773" s="45"/>
      <c r="P773" s="5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 spans="1:28" ht="14.4" x14ac:dyDescent="0.3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55"/>
      <c r="N774" s="45"/>
      <c r="O774" s="45"/>
      <c r="P774" s="5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 spans="1:28" ht="14.4" x14ac:dyDescent="0.3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55"/>
      <c r="N775" s="45"/>
      <c r="O775" s="45"/>
      <c r="P775" s="5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 spans="1:28" ht="14.4" x14ac:dyDescent="0.3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55"/>
      <c r="N776" s="45"/>
      <c r="O776" s="45"/>
      <c r="P776" s="5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 spans="1:28" ht="14.4" x14ac:dyDescent="0.3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55"/>
      <c r="N777" s="45"/>
      <c r="O777" s="45"/>
      <c r="P777" s="5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 spans="1:28" ht="14.4" x14ac:dyDescent="0.3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55"/>
      <c r="N778" s="45"/>
      <c r="O778" s="45"/>
      <c r="P778" s="5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 spans="1:28" ht="14.4" x14ac:dyDescent="0.3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55"/>
      <c r="N779" s="45"/>
      <c r="O779" s="45"/>
      <c r="P779" s="5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 spans="1:28" ht="14.4" x14ac:dyDescent="0.3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55"/>
      <c r="N780" s="45"/>
      <c r="O780" s="45"/>
      <c r="P780" s="5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 spans="1:28" ht="14.4" x14ac:dyDescent="0.3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55"/>
      <c r="N781" s="45"/>
      <c r="O781" s="45"/>
      <c r="P781" s="5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 spans="1:28" ht="14.4" x14ac:dyDescent="0.3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55"/>
      <c r="N782" s="45"/>
      <c r="O782" s="45"/>
      <c r="P782" s="5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 spans="1:28" ht="14.4" x14ac:dyDescent="0.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55"/>
      <c r="N783" s="45"/>
      <c r="O783" s="45"/>
      <c r="P783" s="5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 spans="1:28" ht="14.4" x14ac:dyDescent="0.3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55"/>
      <c r="N784" s="45"/>
      <c r="O784" s="45"/>
      <c r="P784" s="5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 spans="1:28" ht="14.4" x14ac:dyDescent="0.3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55"/>
      <c r="N785" s="45"/>
      <c r="O785" s="45"/>
      <c r="P785" s="5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 spans="1:28" ht="14.4" x14ac:dyDescent="0.3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55"/>
      <c r="N786" s="45"/>
      <c r="O786" s="45"/>
      <c r="P786" s="5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 spans="1:28" ht="14.4" x14ac:dyDescent="0.3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55"/>
      <c r="N787" s="45"/>
      <c r="O787" s="45"/>
      <c r="P787" s="5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 spans="1:28" ht="14.4" x14ac:dyDescent="0.3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55"/>
      <c r="N788" s="45"/>
      <c r="O788" s="45"/>
      <c r="P788" s="5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 spans="1:28" ht="14.4" x14ac:dyDescent="0.3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55"/>
      <c r="N789" s="45"/>
      <c r="O789" s="45"/>
      <c r="P789" s="5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 spans="1:28" ht="14.4" x14ac:dyDescent="0.3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55"/>
      <c r="N790" s="45"/>
      <c r="O790" s="45"/>
      <c r="P790" s="5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 spans="1:28" ht="14.4" x14ac:dyDescent="0.3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55"/>
      <c r="N791" s="45"/>
      <c r="O791" s="45"/>
      <c r="P791" s="5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 spans="1:28" ht="14.4" x14ac:dyDescent="0.3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55"/>
      <c r="N792" s="45"/>
      <c r="O792" s="45"/>
      <c r="P792" s="5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 spans="1:28" ht="14.4" x14ac:dyDescent="0.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55"/>
      <c r="N793" s="45"/>
      <c r="O793" s="45"/>
      <c r="P793" s="5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 spans="1:28" ht="14.4" x14ac:dyDescent="0.3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55"/>
      <c r="N794" s="45"/>
      <c r="O794" s="45"/>
      <c r="P794" s="5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 spans="1:28" ht="14.4" x14ac:dyDescent="0.3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55"/>
      <c r="N795" s="45"/>
      <c r="O795" s="45"/>
      <c r="P795" s="5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 spans="1:28" ht="14.4" x14ac:dyDescent="0.3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55"/>
      <c r="N796" s="45"/>
      <c r="O796" s="45"/>
      <c r="P796" s="5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 spans="1:28" ht="14.4" x14ac:dyDescent="0.3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55"/>
      <c r="N797" s="45"/>
      <c r="O797" s="45"/>
      <c r="P797" s="5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 spans="1:28" ht="14.4" x14ac:dyDescent="0.3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55"/>
      <c r="N798" s="45"/>
      <c r="O798" s="45"/>
      <c r="P798" s="5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 spans="1:28" ht="14.4" x14ac:dyDescent="0.3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55"/>
      <c r="N799" s="45"/>
      <c r="O799" s="45"/>
      <c r="P799" s="5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 spans="1:28" ht="14.4" x14ac:dyDescent="0.3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55"/>
      <c r="N800" s="45"/>
      <c r="O800" s="45"/>
      <c r="P800" s="5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 spans="1:28" ht="14.4" x14ac:dyDescent="0.3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55"/>
      <c r="N801" s="45"/>
      <c r="O801" s="45"/>
      <c r="P801" s="5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 spans="1:28" ht="14.4" x14ac:dyDescent="0.3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55"/>
      <c r="N802" s="45"/>
      <c r="O802" s="45"/>
      <c r="P802" s="5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 spans="1:28" ht="14.4" x14ac:dyDescent="0.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55"/>
      <c r="N803" s="45"/>
      <c r="O803" s="45"/>
      <c r="P803" s="5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 spans="1:28" ht="14.4" x14ac:dyDescent="0.3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55"/>
      <c r="N804" s="45"/>
      <c r="O804" s="45"/>
      <c r="P804" s="5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 spans="1:28" ht="14.4" x14ac:dyDescent="0.3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55"/>
      <c r="N805" s="45"/>
      <c r="O805" s="45"/>
      <c r="P805" s="5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 spans="1:28" ht="14.4" x14ac:dyDescent="0.3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55"/>
      <c r="N806" s="45"/>
      <c r="O806" s="45"/>
      <c r="P806" s="5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 spans="1:28" ht="14.4" x14ac:dyDescent="0.3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55"/>
      <c r="N807" s="45"/>
      <c r="O807" s="45"/>
      <c r="P807" s="5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 spans="1:28" ht="14.4" x14ac:dyDescent="0.3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55"/>
      <c r="N808" s="45"/>
      <c r="O808" s="45"/>
      <c r="P808" s="5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 spans="1:28" ht="14.4" x14ac:dyDescent="0.3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55"/>
      <c r="N809" s="45"/>
      <c r="O809" s="45"/>
      <c r="P809" s="5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 spans="1:28" ht="14.4" x14ac:dyDescent="0.3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55"/>
      <c r="N810" s="45"/>
      <c r="O810" s="45"/>
      <c r="P810" s="5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 spans="1:28" ht="14.4" x14ac:dyDescent="0.3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55"/>
      <c r="N811" s="45"/>
      <c r="O811" s="45"/>
      <c r="P811" s="5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 spans="1:28" ht="14.4" x14ac:dyDescent="0.3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55"/>
      <c r="N812" s="45"/>
      <c r="O812" s="45"/>
      <c r="P812" s="5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 spans="1:28" ht="14.4" x14ac:dyDescent="0.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55"/>
      <c r="N813" s="45"/>
      <c r="O813" s="45"/>
      <c r="P813" s="5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 spans="1:28" ht="14.4" x14ac:dyDescent="0.3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55"/>
      <c r="N814" s="45"/>
      <c r="O814" s="45"/>
      <c r="P814" s="5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 spans="1:28" ht="14.4" x14ac:dyDescent="0.3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55"/>
      <c r="N815" s="45"/>
      <c r="O815" s="45"/>
      <c r="P815" s="5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 spans="1:28" ht="14.4" x14ac:dyDescent="0.3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55"/>
      <c r="N816" s="45"/>
      <c r="O816" s="45"/>
      <c r="P816" s="5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 spans="1:28" ht="14.4" x14ac:dyDescent="0.3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55"/>
      <c r="N817" s="45"/>
      <c r="O817" s="45"/>
      <c r="P817" s="5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 spans="1:28" ht="14.4" x14ac:dyDescent="0.3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55"/>
      <c r="N818" s="45"/>
      <c r="O818" s="45"/>
      <c r="P818" s="5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 spans="1:28" ht="14.4" x14ac:dyDescent="0.3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55"/>
      <c r="N819" s="45"/>
      <c r="O819" s="45"/>
      <c r="P819" s="5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 spans="1:28" ht="14.4" x14ac:dyDescent="0.3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55"/>
      <c r="N820" s="45"/>
      <c r="O820" s="45"/>
      <c r="P820" s="5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 spans="1:28" ht="14.4" x14ac:dyDescent="0.3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55"/>
      <c r="N821" s="45"/>
      <c r="O821" s="45"/>
      <c r="P821" s="5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 spans="1:28" ht="14.4" x14ac:dyDescent="0.3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55"/>
      <c r="N822" s="45"/>
      <c r="O822" s="45"/>
      <c r="P822" s="5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 spans="1:28" ht="14.4" x14ac:dyDescent="0.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55"/>
      <c r="N823" s="45"/>
      <c r="O823" s="45"/>
      <c r="P823" s="5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 spans="1:28" ht="14.4" x14ac:dyDescent="0.3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55"/>
      <c r="N824" s="45"/>
      <c r="O824" s="45"/>
      <c r="P824" s="5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 spans="1:28" ht="14.4" x14ac:dyDescent="0.3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55"/>
      <c r="N825" s="45"/>
      <c r="O825" s="45"/>
      <c r="P825" s="5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 spans="1:28" ht="14.4" x14ac:dyDescent="0.3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55"/>
      <c r="N826" s="45"/>
      <c r="O826" s="45"/>
      <c r="P826" s="5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 spans="1:28" ht="14.4" x14ac:dyDescent="0.3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55"/>
      <c r="N827" s="45"/>
      <c r="O827" s="45"/>
      <c r="P827" s="5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 spans="1:28" ht="14.4" x14ac:dyDescent="0.3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55"/>
      <c r="N828" s="45"/>
      <c r="O828" s="45"/>
      <c r="P828" s="5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 spans="1:28" ht="14.4" x14ac:dyDescent="0.3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55"/>
      <c r="N829" s="45"/>
      <c r="O829" s="45"/>
      <c r="P829" s="5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 spans="1:28" ht="14.4" x14ac:dyDescent="0.3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55"/>
      <c r="N830" s="45"/>
      <c r="O830" s="45"/>
      <c r="P830" s="5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 spans="1:28" ht="14.4" x14ac:dyDescent="0.3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55"/>
      <c r="N831" s="45"/>
      <c r="O831" s="45"/>
      <c r="P831" s="5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 spans="1:28" ht="14.4" x14ac:dyDescent="0.3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55"/>
      <c r="N832" s="45"/>
      <c r="O832" s="45"/>
      <c r="P832" s="5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 spans="1:28" ht="14.4" x14ac:dyDescent="0.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55"/>
      <c r="N833" s="45"/>
      <c r="O833" s="45"/>
      <c r="P833" s="5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 spans="1:28" ht="14.4" x14ac:dyDescent="0.3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55"/>
      <c r="N834" s="45"/>
      <c r="O834" s="45"/>
      <c r="P834" s="5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 spans="1:28" ht="14.4" x14ac:dyDescent="0.3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55"/>
      <c r="N835" s="45"/>
      <c r="O835" s="45"/>
      <c r="P835" s="5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 spans="1:28" ht="14.4" x14ac:dyDescent="0.3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55"/>
      <c r="N836" s="45"/>
      <c r="O836" s="45"/>
      <c r="P836" s="5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 spans="1:28" ht="14.4" x14ac:dyDescent="0.3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55"/>
      <c r="N837" s="45"/>
      <c r="O837" s="45"/>
      <c r="P837" s="5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 spans="1:28" ht="14.4" x14ac:dyDescent="0.3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55"/>
      <c r="N838" s="45"/>
      <c r="O838" s="45"/>
      <c r="P838" s="5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 spans="1:28" ht="14.4" x14ac:dyDescent="0.3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55"/>
      <c r="N839" s="45"/>
      <c r="O839" s="45"/>
      <c r="P839" s="5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 spans="1:28" ht="14.4" x14ac:dyDescent="0.3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55"/>
      <c r="N840" s="45"/>
      <c r="O840" s="45"/>
      <c r="P840" s="5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 spans="1:28" ht="14.4" x14ac:dyDescent="0.3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55"/>
      <c r="N841" s="45"/>
      <c r="O841" s="45"/>
      <c r="P841" s="5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 spans="1:28" ht="14.4" x14ac:dyDescent="0.3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55"/>
      <c r="N842" s="45"/>
      <c r="O842" s="45"/>
      <c r="P842" s="5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 spans="1:28" ht="14.4" x14ac:dyDescent="0.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55"/>
      <c r="N843" s="45"/>
      <c r="O843" s="45"/>
      <c r="P843" s="5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 spans="1:28" ht="14.4" x14ac:dyDescent="0.3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55"/>
      <c r="N844" s="45"/>
      <c r="O844" s="45"/>
      <c r="P844" s="5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 spans="1:28" ht="14.4" x14ac:dyDescent="0.3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55"/>
      <c r="N845" s="45"/>
      <c r="O845" s="45"/>
      <c r="P845" s="5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 spans="1:28" ht="14.4" x14ac:dyDescent="0.3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55"/>
      <c r="N846" s="45"/>
      <c r="O846" s="45"/>
      <c r="P846" s="5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 spans="1:28" ht="14.4" x14ac:dyDescent="0.3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55"/>
      <c r="N847" s="45"/>
      <c r="O847" s="45"/>
      <c r="P847" s="5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 spans="1:28" ht="14.4" x14ac:dyDescent="0.3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55"/>
      <c r="N848" s="45"/>
      <c r="O848" s="45"/>
      <c r="P848" s="5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 spans="1:28" ht="14.4" x14ac:dyDescent="0.3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55"/>
      <c r="N849" s="45"/>
      <c r="O849" s="45"/>
      <c r="P849" s="5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 spans="1:28" ht="14.4" x14ac:dyDescent="0.3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55"/>
      <c r="N850" s="45"/>
      <c r="O850" s="45"/>
      <c r="P850" s="5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 spans="1:28" ht="14.4" x14ac:dyDescent="0.3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55"/>
      <c r="N851" s="45"/>
      <c r="O851" s="45"/>
      <c r="P851" s="5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 spans="1:28" ht="14.4" x14ac:dyDescent="0.3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55"/>
      <c r="N852" s="45"/>
      <c r="O852" s="45"/>
      <c r="P852" s="5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 spans="1:28" ht="14.4" x14ac:dyDescent="0.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55"/>
      <c r="N853" s="45"/>
      <c r="O853" s="45"/>
      <c r="P853" s="5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 spans="1:28" ht="14.4" x14ac:dyDescent="0.3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55"/>
      <c r="N854" s="45"/>
      <c r="O854" s="45"/>
      <c r="P854" s="5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 spans="1:28" ht="14.4" x14ac:dyDescent="0.3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55"/>
      <c r="N855" s="45"/>
      <c r="O855" s="45"/>
      <c r="P855" s="5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 spans="1:28" ht="14.4" x14ac:dyDescent="0.3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55"/>
      <c r="N856" s="45"/>
      <c r="O856" s="45"/>
      <c r="P856" s="5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 spans="1:28" ht="14.4" x14ac:dyDescent="0.3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55"/>
      <c r="N857" s="45"/>
      <c r="O857" s="45"/>
      <c r="P857" s="5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 spans="1:28" ht="14.4" x14ac:dyDescent="0.3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55"/>
      <c r="N858" s="45"/>
      <c r="O858" s="45"/>
      <c r="P858" s="5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 spans="1:28" ht="14.4" x14ac:dyDescent="0.3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55"/>
      <c r="N859" s="45"/>
      <c r="O859" s="45"/>
      <c r="P859" s="5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 spans="1:28" ht="14.4" x14ac:dyDescent="0.3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55"/>
      <c r="N860" s="45"/>
      <c r="O860" s="45"/>
      <c r="P860" s="5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 spans="1:28" ht="14.4" x14ac:dyDescent="0.3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55"/>
      <c r="N861" s="45"/>
      <c r="O861" s="45"/>
      <c r="P861" s="5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 spans="1:28" ht="14.4" x14ac:dyDescent="0.3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55"/>
      <c r="N862" s="45"/>
      <c r="O862" s="45"/>
      <c r="P862" s="5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 spans="1:28" ht="14.4" x14ac:dyDescent="0.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55"/>
      <c r="N863" s="45"/>
      <c r="O863" s="45"/>
      <c r="P863" s="5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 spans="1:28" ht="14.4" x14ac:dyDescent="0.3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55"/>
      <c r="N864" s="45"/>
      <c r="O864" s="45"/>
      <c r="P864" s="5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 spans="1:28" ht="14.4" x14ac:dyDescent="0.3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55"/>
      <c r="N865" s="45"/>
      <c r="O865" s="45"/>
      <c r="P865" s="5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 spans="1:28" ht="14.4" x14ac:dyDescent="0.3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55"/>
      <c r="N866" s="45"/>
      <c r="O866" s="45"/>
      <c r="P866" s="5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 spans="1:28" ht="14.4" x14ac:dyDescent="0.3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55"/>
      <c r="N867" s="45"/>
      <c r="O867" s="45"/>
      <c r="P867" s="5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 spans="1:28" ht="14.4" x14ac:dyDescent="0.3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55"/>
      <c r="N868" s="45"/>
      <c r="O868" s="45"/>
      <c r="P868" s="5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 spans="1:28" ht="14.4" x14ac:dyDescent="0.3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55"/>
      <c r="N869" s="45"/>
      <c r="O869" s="45"/>
      <c r="P869" s="5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 spans="1:28" ht="14.4" x14ac:dyDescent="0.3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55"/>
      <c r="N870" s="45"/>
      <c r="O870" s="45"/>
      <c r="P870" s="5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 spans="1:28" ht="14.4" x14ac:dyDescent="0.3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55"/>
      <c r="N871" s="45"/>
      <c r="O871" s="45"/>
      <c r="P871" s="5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 spans="1:28" ht="14.4" x14ac:dyDescent="0.3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55"/>
      <c r="N872" s="45"/>
      <c r="O872" s="45"/>
      <c r="P872" s="5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 spans="1:28" ht="14.4" x14ac:dyDescent="0.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55"/>
      <c r="N873" s="45"/>
      <c r="O873" s="45"/>
      <c r="P873" s="5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 spans="1:28" ht="14.4" x14ac:dyDescent="0.3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55"/>
      <c r="N874" s="45"/>
      <c r="O874" s="45"/>
      <c r="P874" s="5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 spans="1:28" ht="14.4" x14ac:dyDescent="0.3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55"/>
      <c r="N875" s="45"/>
      <c r="O875" s="45"/>
      <c r="P875" s="5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 spans="1:28" ht="14.4" x14ac:dyDescent="0.3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55"/>
      <c r="N876" s="45"/>
      <c r="O876" s="45"/>
      <c r="P876" s="5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 spans="1:28" ht="14.4" x14ac:dyDescent="0.3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55"/>
      <c r="N877" s="45"/>
      <c r="O877" s="45"/>
      <c r="P877" s="5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 spans="1:28" ht="14.4" x14ac:dyDescent="0.3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55"/>
      <c r="N878" s="45"/>
      <c r="O878" s="45"/>
      <c r="P878" s="5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 spans="1:28" ht="14.4" x14ac:dyDescent="0.3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55"/>
      <c r="N879" s="45"/>
      <c r="O879" s="45"/>
      <c r="P879" s="5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 spans="1:28" ht="14.4" x14ac:dyDescent="0.3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55"/>
      <c r="N880" s="45"/>
      <c r="O880" s="45"/>
      <c r="P880" s="5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 spans="1:28" ht="14.4" x14ac:dyDescent="0.3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55"/>
      <c r="N881" s="45"/>
      <c r="O881" s="45"/>
      <c r="P881" s="5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 spans="1:28" ht="14.4" x14ac:dyDescent="0.3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55"/>
      <c r="N882" s="45"/>
      <c r="O882" s="45"/>
      <c r="P882" s="5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 spans="1:28" ht="14.4" x14ac:dyDescent="0.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55"/>
      <c r="N883" s="45"/>
      <c r="O883" s="45"/>
      <c r="P883" s="5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 spans="1:28" ht="14.4" x14ac:dyDescent="0.3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55"/>
      <c r="N884" s="45"/>
      <c r="O884" s="45"/>
      <c r="P884" s="5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 spans="1:28" ht="14.4" x14ac:dyDescent="0.3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55"/>
      <c r="N885" s="45"/>
      <c r="O885" s="45"/>
      <c r="P885" s="5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 spans="1:28" ht="14.4" x14ac:dyDescent="0.3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55"/>
      <c r="N886" s="45"/>
      <c r="O886" s="45"/>
      <c r="P886" s="5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 spans="1:28" ht="14.4" x14ac:dyDescent="0.3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55"/>
      <c r="N887" s="45"/>
      <c r="O887" s="45"/>
      <c r="P887" s="5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 spans="1:28" ht="14.4" x14ac:dyDescent="0.3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55"/>
      <c r="N888" s="45"/>
      <c r="O888" s="45"/>
      <c r="P888" s="5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 spans="1:28" ht="14.4" x14ac:dyDescent="0.3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55"/>
      <c r="N889" s="45"/>
      <c r="O889" s="45"/>
      <c r="P889" s="5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 spans="1:28" ht="14.4" x14ac:dyDescent="0.3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55"/>
      <c r="N890" s="45"/>
      <c r="O890" s="45"/>
      <c r="P890" s="5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 spans="1:28" ht="14.4" x14ac:dyDescent="0.3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55"/>
      <c r="N891" s="45"/>
      <c r="O891" s="45"/>
      <c r="P891" s="5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 spans="1:28" ht="14.4" x14ac:dyDescent="0.3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55"/>
      <c r="N892" s="45"/>
      <c r="O892" s="45"/>
      <c r="P892" s="5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 spans="1:28" ht="14.4" x14ac:dyDescent="0.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55"/>
      <c r="N893" s="45"/>
      <c r="O893" s="45"/>
      <c r="P893" s="5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 spans="1:28" ht="14.4" x14ac:dyDescent="0.3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55"/>
      <c r="N894" s="45"/>
      <c r="O894" s="45"/>
      <c r="P894" s="5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 spans="1:28" ht="14.4" x14ac:dyDescent="0.3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55"/>
      <c r="N895" s="45"/>
      <c r="O895" s="45"/>
      <c r="P895" s="5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 spans="1:28" ht="14.4" x14ac:dyDescent="0.3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55"/>
      <c r="N896" s="45"/>
      <c r="O896" s="45"/>
      <c r="P896" s="5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 spans="1:28" ht="14.4" x14ac:dyDescent="0.3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55"/>
      <c r="N897" s="45"/>
      <c r="O897" s="45"/>
      <c r="P897" s="5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 spans="1:28" ht="14.4" x14ac:dyDescent="0.3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55"/>
      <c r="N898" s="45"/>
      <c r="O898" s="45"/>
      <c r="P898" s="5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 spans="1:28" ht="14.4" x14ac:dyDescent="0.3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55"/>
      <c r="N899" s="45"/>
      <c r="O899" s="45"/>
      <c r="P899" s="5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 spans="1:28" ht="14.4" x14ac:dyDescent="0.3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55"/>
      <c r="N900" s="45"/>
      <c r="O900" s="45"/>
      <c r="P900" s="5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 spans="1:28" ht="14.4" x14ac:dyDescent="0.3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55"/>
      <c r="N901" s="45"/>
      <c r="O901" s="45"/>
      <c r="P901" s="5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 spans="1:28" ht="14.4" x14ac:dyDescent="0.3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55"/>
      <c r="N902" s="45"/>
      <c r="O902" s="45"/>
      <c r="P902" s="5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 spans="1:28" ht="14.4" x14ac:dyDescent="0.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55"/>
      <c r="N903" s="45"/>
      <c r="O903" s="45"/>
      <c r="P903" s="5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 spans="1:28" ht="14.4" x14ac:dyDescent="0.3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55"/>
      <c r="N904" s="45"/>
      <c r="O904" s="45"/>
      <c r="P904" s="5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 spans="1:28" ht="14.4" x14ac:dyDescent="0.3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55"/>
      <c r="N905" s="45"/>
      <c r="O905" s="45"/>
      <c r="P905" s="5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 spans="1:28" ht="14.4" x14ac:dyDescent="0.3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55"/>
      <c r="N906" s="45"/>
      <c r="O906" s="45"/>
      <c r="P906" s="5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 spans="1:28" ht="14.4" x14ac:dyDescent="0.3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55"/>
      <c r="N907" s="45"/>
      <c r="O907" s="45"/>
      <c r="P907" s="5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 spans="1:28" ht="14.4" x14ac:dyDescent="0.3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55"/>
      <c r="N908" s="45"/>
      <c r="O908" s="45"/>
      <c r="P908" s="5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 spans="1:28" ht="14.4" x14ac:dyDescent="0.3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55"/>
      <c r="N909" s="45"/>
      <c r="O909" s="45"/>
      <c r="P909" s="5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 spans="1:28" ht="14.4" x14ac:dyDescent="0.3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55"/>
      <c r="N910" s="45"/>
      <c r="O910" s="45"/>
      <c r="P910" s="5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 spans="1:28" ht="14.4" x14ac:dyDescent="0.3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55"/>
      <c r="N911" s="45"/>
      <c r="O911" s="45"/>
      <c r="P911" s="5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 spans="1:28" ht="14.4" x14ac:dyDescent="0.3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55"/>
      <c r="N912" s="45"/>
      <c r="O912" s="45"/>
      <c r="P912" s="5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 spans="1:28" ht="14.4" x14ac:dyDescent="0.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55"/>
      <c r="N913" s="45"/>
      <c r="O913" s="45"/>
      <c r="P913" s="5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 spans="1:28" ht="14.4" x14ac:dyDescent="0.3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55"/>
      <c r="N914" s="45"/>
      <c r="O914" s="45"/>
      <c r="P914" s="5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 spans="1:28" ht="14.4" x14ac:dyDescent="0.3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55"/>
      <c r="N915" s="45"/>
      <c r="O915" s="45"/>
      <c r="P915" s="5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 spans="1:28" ht="14.4" x14ac:dyDescent="0.3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55"/>
      <c r="N916" s="45"/>
      <c r="O916" s="45"/>
      <c r="P916" s="5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 spans="1:28" ht="14.4" x14ac:dyDescent="0.3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55"/>
      <c r="N917" s="45"/>
      <c r="O917" s="45"/>
      <c r="P917" s="5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 spans="1:28" ht="14.4" x14ac:dyDescent="0.3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55"/>
      <c r="N918" s="45"/>
      <c r="O918" s="45"/>
      <c r="P918" s="5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 spans="1:28" ht="14.4" x14ac:dyDescent="0.3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55"/>
      <c r="N919" s="45"/>
      <c r="O919" s="45"/>
      <c r="P919" s="5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 spans="1:28" ht="14.4" x14ac:dyDescent="0.3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55"/>
      <c r="N920" s="45"/>
      <c r="O920" s="45"/>
      <c r="P920" s="5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 spans="1:28" ht="14.4" x14ac:dyDescent="0.3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55"/>
      <c r="N921" s="45"/>
      <c r="O921" s="45"/>
      <c r="P921" s="5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 spans="1:28" ht="14.4" x14ac:dyDescent="0.3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55"/>
      <c r="N922" s="45"/>
      <c r="O922" s="45"/>
      <c r="P922" s="5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 spans="1:28" ht="14.4" x14ac:dyDescent="0.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55"/>
      <c r="N923" s="45"/>
      <c r="O923" s="45"/>
      <c r="P923" s="5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 spans="1:28" ht="14.4" x14ac:dyDescent="0.3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55"/>
      <c r="N924" s="45"/>
      <c r="O924" s="45"/>
      <c r="P924" s="5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 spans="1:28" ht="14.4" x14ac:dyDescent="0.3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55"/>
      <c r="N925" s="45"/>
      <c r="O925" s="45"/>
      <c r="P925" s="5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 spans="1:28" ht="14.4" x14ac:dyDescent="0.3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55"/>
      <c r="N926" s="45"/>
      <c r="O926" s="45"/>
      <c r="P926" s="5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 spans="1:28" ht="14.4" x14ac:dyDescent="0.3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55"/>
      <c r="N927" s="45"/>
      <c r="O927" s="45"/>
      <c r="P927" s="5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 spans="1:28" ht="14.4" x14ac:dyDescent="0.3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55"/>
      <c r="N928" s="45"/>
      <c r="O928" s="45"/>
      <c r="P928" s="5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 spans="1:28" ht="14.4" x14ac:dyDescent="0.3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55"/>
      <c r="N929" s="45"/>
      <c r="O929" s="45"/>
      <c r="P929" s="5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 spans="1:28" ht="14.4" x14ac:dyDescent="0.3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55"/>
      <c r="N930" s="45"/>
      <c r="O930" s="45"/>
      <c r="P930" s="5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 spans="1:28" ht="14.4" x14ac:dyDescent="0.3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55"/>
      <c r="N931" s="45"/>
      <c r="O931" s="45"/>
      <c r="P931" s="5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 spans="1:28" ht="14.4" x14ac:dyDescent="0.3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55"/>
      <c r="N932" s="45"/>
      <c r="O932" s="45"/>
      <c r="P932" s="5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 spans="1:28" ht="14.4" x14ac:dyDescent="0.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55"/>
      <c r="N933" s="45"/>
      <c r="O933" s="45"/>
      <c r="P933" s="5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 spans="1:28" ht="14.4" x14ac:dyDescent="0.3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55"/>
      <c r="N934" s="45"/>
      <c r="O934" s="45"/>
      <c r="P934" s="5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 spans="1:28" ht="14.4" x14ac:dyDescent="0.3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55"/>
      <c r="N935" s="45"/>
      <c r="O935" s="45"/>
      <c r="P935" s="5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 spans="1:28" ht="14.4" x14ac:dyDescent="0.3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55"/>
      <c r="N936" s="45"/>
      <c r="O936" s="45"/>
      <c r="P936" s="5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 spans="1:28" ht="14.4" x14ac:dyDescent="0.3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55"/>
      <c r="N937" s="45"/>
      <c r="O937" s="45"/>
      <c r="P937" s="5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 spans="1:28" ht="14.4" x14ac:dyDescent="0.3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55"/>
      <c r="N938" s="45"/>
      <c r="O938" s="45"/>
      <c r="P938" s="5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 spans="1:28" ht="14.4" x14ac:dyDescent="0.3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55"/>
      <c r="N939" s="45"/>
      <c r="O939" s="45"/>
      <c r="P939" s="5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 spans="1:28" ht="14.4" x14ac:dyDescent="0.3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55"/>
      <c r="N940" s="45"/>
      <c r="O940" s="45"/>
      <c r="P940" s="5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 spans="1:28" ht="14.4" x14ac:dyDescent="0.3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55"/>
      <c r="N941" s="45"/>
      <c r="O941" s="45"/>
      <c r="P941" s="5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 spans="1:28" ht="14.4" x14ac:dyDescent="0.3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55"/>
      <c r="N942" s="45"/>
      <c r="O942" s="45"/>
      <c r="P942" s="5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 spans="1:28" ht="14.4" x14ac:dyDescent="0.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55"/>
      <c r="N943" s="45"/>
      <c r="O943" s="45"/>
      <c r="P943" s="5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 spans="1:28" ht="14.4" x14ac:dyDescent="0.3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55"/>
      <c r="N944" s="45"/>
      <c r="O944" s="45"/>
      <c r="P944" s="5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 spans="1:28" ht="14.4" x14ac:dyDescent="0.3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55"/>
      <c r="N945" s="45"/>
      <c r="O945" s="45"/>
      <c r="P945" s="5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 spans="1:28" ht="14.4" x14ac:dyDescent="0.3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55"/>
      <c r="N946" s="45"/>
      <c r="O946" s="45"/>
      <c r="P946" s="5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 spans="1:28" ht="14.4" x14ac:dyDescent="0.3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55"/>
      <c r="N947" s="45"/>
      <c r="O947" s="45"/>
      <c r="P947" s="5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 spans="1:28" ht="14.4" x14ac:dyDescent="0.3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55"/>
      <c r="N948" s="45"/>
      <c r="O948" s="45"/>
      <c r="P948" s="5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 spans="1:28" ht="14.4" x14ac:dyDescent="0.3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55"/>
      <c r="N949" s="45"/>
      <c r="O949" s="45"/>
      <c r="P949" s="5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 spans="1:28" ht="14.4" x14ac:dyDescent="0.3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55"/>
      <c r="N950" s="45"/>
      <c r="O950" s="45"/>
      <c r="P950" s="5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 spans="1:28" ht="14.4" x14ac:dyDescent="0.3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55"/>
      <c r="N951" s="45"/>
      <c r="O951" s="45"/>
      <c r="P951" s="5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 spans="1:28" ht="14.4" x14ac:dyDescent="0.3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55"/>
      <c r="N952" s="45"/>
      <c r="O952" s="45"/>
      <c r="P952" s="5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 spans="1:28" ht="14.4" x14ac:dyDescent="0.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55"/>
      <c r="N953" s="45"/>
      <c r="O953" s="45"/>
      <c r="P953" s="5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 spans="1:28" ht="14.4" x14ac:dyDescent="0.3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55"/>
      <c r="N954" s="45"/>
      <c r="O954" s="45"/>
      <c r="P954" s="5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 spans="1:28" ht="14.4" x14ac:dyDescent="0.3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55"/>
      <c r="N955" s="45"/>
      <c r="O955" s="45"/>
      <c r="P955" s="5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 spans="1:28" ht="14.4" x14ac:dyDescent="0.3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55"/>
      <c r="N956" s="45"/>
      <c r="O956" s="45"/>
      <c r="P956" s="5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 spans="1:28" ht="14.4" x14ac:dyDescent="0.3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55"/>
      <c r="N957" s="45"/>
      <c r="O957" s="45"/>
      <c r="P957" s="5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 spans="1:28" ht="14.4" x14ac:dyDescent="0.3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55"/>
      <c r="N958" s="45"/>
      <c r="O958" s="45"/>
      <c r="P958" s="5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 spans="1:28" ht="14.4" x14ac:dyDescent="0.3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55"/>
      <c r="N959" s="45"/>
      <c r="O959" s="45"/>
      <c r="P959" s="5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 spans="1:28" ht="14.4" x14ac:dyDescent="0.3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55"/>
      <c r="N960" s="45"/>
      <c r="O960" s="45"/>
      <c r="P960" s="5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 spans="1:28" ht="14.4" x14ac:dyDescent="0.3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55"/>
      <c r="N961" s="45"/>
      <c r="O961" s="45"/>
      <c r="P961" s="5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 spans="1:28" ht="14.4" x14ac:dyDescent="0.3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55"/>
      <c r="N962" s="45"/>
      <c r="O962" s="45"/>
      <c r="P962" s="5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 spans="1:28" ht="14.4" x14ac:dyDescent="0.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55"/>
      <c r="N963" s="45"/>
      <c r="O963" s="45"/>
      <c r="P963" s="5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 spans="1:28" ht="14.4" x14ac:dyDescent="0.3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55"/>
      <c r="N964" s="45"/>
      <c r="O964" s="45"/>
      <c r="P964" s="5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 spans="1:28" ht="14.4" x14ac:dyDescent="0.3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55"/>
      <c r="N965" s="45"/>
      <c r="O965" s="45"/>
      <c r="P965" s="5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 spans="1:28" ht="14.4" x14ac:dyDescent="0.3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55"/>
      <c r="N966" s="45"/>
      <c r="O966" s="45"/>
      <c r="P966" s="5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 spans="1:28" ht="14.4" x14ac:dyDescent="0.3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55"/>
      <c r="N967" s="45"/>
      <c r="O967" s="45"/>
      <c r="P967" s="5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 spans="1:28" ht="14.4" x14ac:dyDescent="0.3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55"/>
      <c r="N968" s="45"/>
      <c r="O968" s="45"/>
      <c r="P968" s="5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 spans="1:28" ht="14.4" x14ac:dyDescent="0.3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55"/>
      <c r="N969" s="45"/>
      <c r="O969" s="45"/>
      <c r="P969" s="5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 spans="1:28" ht="14.4" x14ac:dyDescent="0.3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55"/>
      <c r="N970" s="45"/>
      <c r="O970" s="45"/>
      <c r="P970" s="5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 spans="1:28" ht="14.4" x14ac:dyDescent="0.3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55"/>
      <c r="N971" s="45"/>
      <c r="O971" s="45"/>
      <c r="P971" s="5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 spans="1:28" ht="14.4" x14ac:dyDescent="0.3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55"/>
      <c r="N972" s="45"/>
      <c r="O972" s="45"/>
      <c r="P972" s="5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 spans="1:28" ht="14.4" x14ac:dyDescent="0.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55"/>
      <c r="N973" s="45"/>
      <c r="O973" s="45"/>
      <c r="P973" s="5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 spans="1:28" ht="14.4" x14ac:dyDescent="0.3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55"/>
      <c r="N974" s="45"/>
      <c r="O974" s="45"/>
      <c r="P974" s="5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 spans="1:28" ht="14.4" x14ac:dyDescent="0.3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55"/>
      <c r="N975" s="45"/>
      <c r="O975" s="45"/>
      <c r="P975" s="5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 spans="1:28" ht="14.4" x14ac:dyDescent="0.3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55"/>
      <c r="N976" s="45"/>
      <c r="O976" s="45"/>
      <c r="P976" s="5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 spans="1:28" ht="14.4" x14ac:dyDescent="0.3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55"/>
      <c r="N977" s="45"/>
      <c r="O977" s="45"/>
      <c r="P977" s="5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 spans="1:28" ht="14.4" x14ac:dyDescent="0.3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55"/>
      <c r="N978" s="45"/>
      <c r="O978" s="45"/>
      <c r="P978" s="5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 spans="1:28" ht="14.4" x14ac:dyDescent="0.3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55"/>
      <c r="N979" s="45"/>
      <c r="O979" s="45"/>
      <c r="P979" s="5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 spans="1:28" ht="14.4" x14ac:dyDescent="0.3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55"/>
      <c r="N980" s="45"/>
      <c r="O980" s="45"/>
      <c r="P980" s="5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 spans="1:28" ht="14.4" x14ac:dyDescent="0.3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55"/>
      <c r="N981" s="45"/>
      <c r="O981" s="45"/>
      <c r="P981" s="5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 spans="1:28" ht="14.4" x14ac:dyDescent="0.3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55"/>
      <c r="N982" s="45"/>
      <c r="O982" s="45"/>
      <c r="P982" s="5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 spans="1:28" ht="14.4" x14ac:dyDescent="0.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55"/>
      <c r="N983" s="45"/>
      <c r="O983" s="45"/>
      <c r="P983" s="5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 spans="1:28" ht="14.4" x14ac:dyDescent="0.3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55"/>
      <c r="N984" s="45"/>
      <c r="O984" s="45"/>
      <c r="P984" s="5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 spans="1:28" ht="14.4" x14ac:dyDescent="0.3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55"/>
      <c r="N985" s="45"/>
      <c r="O985" s="45"/>
      <c r="P985" s="5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 spans="1:28" ht="14.4" x14ac:dyDescent="0.3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55"/>
      <c r="N986" s="45"/>
      <c r="O986" s="45"/>
      <c r="P986" s="5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 spans="1:28" ht="14.4" x14ac:dyDescent="0.3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55"/>
      <c r="N987" s="45"/>
      <c r="O987" s="45"/>
      <c r="P987" s="5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 spans="1:28" ht="14.4" x14ac:dyDescent="0.3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55"/>
      <c r="N988" s="45"/>
      <c r="O988" s="45"/>
      <c r="P988" s="5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 spans="1:28" ht="14.4" x14ac:dyDescent="0.3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55"/>
      <c r="N989" s="45"/>
      <c r="O989" s="45"/>
      <c r="P989" s="5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 spans="1:28" ht="14.4" x14ac:dyDescent="0.3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55"/>
      <c r="N990" s="45"/>
      <c r="O990" s="45"/>
      <c r="P990" s="5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 spans="1:28" ht="14.4" x14ac:dyDescent="0.3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55"/>
      <c r="N991" s="45"/>
      <c r="O991" s="45"/>
      <c r="P991" s="5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 spans="1:28" ht="14.4" x14ac:dyDescent="0.3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55"/>
      <c r="N992" s="45"/>
      <c r="O992" s="45"/>
      <c r="P992" s="5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 spans="1:28" ht="14.4" x14ac:dyDescent="0.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55"/>
      <c r="N993" s="45"/>
      <c r="O993" s="45"/>
      <c r="P993" s="5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 spans="1:28" ht="14.4" x14ac:dyDescent="0.3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55"/>
      <c r="N994" s="45"/>
      <c r="O994" s="45"/>
      <c r="P994" s="5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 spans="1:28" ht="14.4" x14ac:dyDescent="0.3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55"/>
      <c r="N995" s="45"/>
      <c r="O995" s="45"/>
      <c r="P995" s="5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 spans="1:28" ht="14.4" x14ac:dyDescent="0.3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55"/>
      <c r="N996" s="45"/>
      <c r="O996" s="45"/>
      <c r="P996" s="5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 spans="1:28" ht="14.4" x14ac:dyDescent="0.3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55"/>
      <c r="N997" s="45"/>
      <c r="O997" s="45"/>
      <c r="P997" s="5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 spans="1:28" ht="14.4" x14ac:dyDescent="0.3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55"/>
      <c r="N998" s="45"/>
      <c r="O998" s="45"/>
      <c r="P998" s="5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 spans="1:28" ht="14.4" x14ac:dyDescent="0.3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55"/>
      <c r="N999" s="45"/>
      <c r="O999" s="45"/>
      <c r="P999" s="5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  <row r="1000" spans="1:28" ht="14.4" x14ac:dyDescent="0.3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55"/>
      <c r="N1000" s="45"/>
      <c r="O1000" s="45"/>
      <c r="P1000" s="5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</row>
  </sheetData>
  <conditionalFormatting sqref="A1:AB1000">
    <cfRule type="cellIs" dxfId="0" priority="1" operator="lessThan">
      <formula>se</formula>
    </cfRule>
  </conditionalFormatting>
  <dataValidations count="2">
    <dataValidation type="custom" allowBlank="1" showDropDown="1" sqref="B2:H85 J2:K85 N2:N85 Q2:Q85" xr:uid="{00000000-0002-0000-0700-000000000000}">
      <formula1>AND(ISNUMBER(B2),(NOT(OR(NOT(ISERROR(DATEVALUE(B2))), AND(ISNUMBER(B2), LEFT(CELL("format", B2))="D")))))</formula1>
    </dataValidation>
    <dataValidation type="list" allowBlank="1" showErrorMessage="1" sqref="L2:L85 O2:O85 R2:R85" xr:uid="{00000000-0002-0000-0700-000001000000}">
      <formula1>"101.762,31,103.043,74,104.753,29,105.063,56,108.364,80,108.378,68,110.553,88,113.725,52,114.119,14,116.354,47,117.420,39,119.080,25,120.721,63,122.155,06,123.659,97,124.022,87,126.773,91,127.955,65,128.247,22,129.524,94,132.275,98,132.840,67,132.927,58,13"&amp;"5.027,01,137.439,30,137.778,05,137.899,52,14.936,04,140.529,09,142.042,30,142.871,45,143.280,12,146.031,16,146.648,09,147.843,38,151.096,25,151.235,29,152.815,32,153.436,12,155.523,53,155.636,95,157.787,25,157.837,78,159.957,59,16.333,93,160.038,61,162.23"&amp;"9,43,162.759,18,163.625,04,164.440,26,166.641,09,167.302,24,167.731,12,168.841,92,17.315,77,170.988,12,171.042,75,172.703,05,173.243,58,174.679,28,175.444,41,176.846,33,178.375,22,180.098,33,180.989,61,182.075,51,182.299,16,183.949,78,185.132,88,185.600,4"&amp;"1,185.779,77,187.251,03,188.901,65,189.276,16,189.487,67,190.552,27,192.202,89,193.198,93,193.419,44,193.853,51,195.504,13,196.146,20,197.154,76,197.562,72,198.805,38,199.099,27,20.760,48,201.706,00,202.057,71,202.720,40,204.371,02,205.019,18,205.849,27,2"&amp;"06.021,64,207.672,26,207.983,50,209.322,88,209.992,55,210.950,48,210.973,51,212.073,92,213.174,33,213.307,17,213.919,97,214.274,75,215.375,16,216.475,58,216.621,80,216.891,82,217.575,99,219.865,91,219.936,42,221.695,61,222.796,02,222.842,11,223.251,04,223"&amp;".896,43,224.996,85,225.820,32,226.097,26,226.565,66,227.197,68,228.298,09,228.800,44,229.398,51,229.880,28,230.498,92,231.599,33,231.780,74,232.699,75,233.194,91,233.800,16,233.998,13,236.217,72,236.509,53,238.439,41,239.824,15,24.071,05,240.663,10,242.88"&amp;"8,70,243.138,77,245.116,14,246.453,40,247.345,35,249.768,02,25.517,98,253.082,64,255.568,61,258.054,57,26.097,66,260.540,54,263.026,51,265.512,47,267.807,52,267.998,44,269.767,47,270.484,41,271.741,15,272.970,38,273.728,12,275.456,34,275.727,97,277.728,22"&amp;",277.942,31,279.728,85,280.428,28,281.729,86,282.914,24,283.731,24,284.937,44,285.400,21,286.157,57,287.391,17,287.886,18,288.637,86,289.897,25,290.372,14,291.169,00,292.452,80,292.858,11,293.748,36,294.515,42,295.055,40,296.172,73,296.373,68,297.702,99,2"&amp;"97.830,04,299.043,13,299.487,35,300.383,34,301.144,66,301.723,63,302.801,98,303.064,00,304.404,46,304.459,29,305.744,98,306.116,60,307.085,59,307.773,91,309.431,22,31.049,53,31.808,18,311.088,53,312.745,84,314.403,15,316.060,47,317.717,78,319.375,09,321.0"&amp;"32,40,322.689,71,33.720,18,36.001,39,39.545,30,40.403,05,41.922,39,44.804,71,47.282,43,49.206,36,49.991,75,53.608,02,54.159,87,56.524,86,57.417,04,58.009,68,60.834,55,62.411,34,63.574,04,67.463,79,68.749,89,69.640,89,72.601,34,74.093,04,75.738,72,76.452,7"&amp;"9,8.596,80,8.798,47,80.304,24,80.722,28,81.859,84,84.155,69,87.157,23,87.351,52,88.007,14,9.113,56,91.858,59,92.426,10,93.152,11,95.159,83,97.724,40,98.461,07,98.952,70,Receita Líq Lucro Real,Receita Líq Presumido,Receita Líq Simples"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160</v>
      </c>
      <c r="B2" s="58">
        <v>7291.33</v>
      </c>
      <c r="C2" s="58">
        <v>13003.46</v>
      </c>
      <c r="D2" s="58">
        <v>23857.83</v>
      </c>
      <c r="E2" s="58">
        <v>39747.660000000003</v>
      </c>
      <c r="F2" s="58">
        <v>60044.1</v>
      </c>
      <c r="G2" s="58">
        <v>84087.16</v>
      </c>
      <c r="H2" s="58">
        <v>110727.89</v>
      </c>
      <c r="I2" s="58">
        <v>140890.26999999999</v>
      </c>
      <c r="J2" s="58">
        <v>174500.68</v>
      </c>
      <c r="K2" s="58">
        <v>211463.18</v>
      </c>
      <c r="L2" s="58">
        <v>251688.55</v>
      </c>
      <c r="M2" s="58">
        <v>295103.06</v>
      </c>
      <c r="N2" s="58">
        <v>295103.06</v>
      </c>
      <c r="O2" s="58">
        <v>328895.65999999997</v>
      </c>
      <c r="P2" s="58">
        <v>357266.92</v>
      </c>
      <c r="Q2" s="58">
        <v>386954.62</v>
      </c>
      <c r="R2" s="58">
        <v>417895.89</v>
      </c>
      <c r="S2" s="58">
        <v>450090.91</v>
      </c>
      <c r="T2" s="58">
        <v>483481.45</v>
      </c>
      <c r="U2" s="58">
        <v>518012.58</v>
      </c>
      <c r="V2" s="58">
        <v>553703.32999999996</v>
      </c>
      <c r="W2" s="58">
        <v>565507.04</v>
      </c>
      <c r="X2" s="58">
        <v>578367.18999999994</v>
      </c>
      <c r="Y2" s="58">
        <v>592235.57999999996</v>
      </c>
      <c r="Z2" s="58">
        <v>607153.61</v>
      </c>
      <c r="AA2" s="58">
        <v>607153.61</v>
      </c>
      <c r="AB2" s="58">
        <v>617600.55000000005</v>
      </c>
      <c r="AC2" s="58">
        <v>629836.63</v>
      </c>
      <c r="AD2" s="58">
        <v>640517.69999999995</v>
      </c>
      <c r="AE2" s="58">
        <v>651664.93000000005</v>
      </c>
      <c r="AF2" s="58">
        <v>663667.06000000006</v>
      </c>
      <c r="AG2" s="58">
        <v>676482.64</v>
      </c>
      <c r="AH2" s="58">
        <v>690184.91</v>
      </c>
      <c r="AI2" s="58">
        <v>704745.46</v>
      </c>
      <c r="AJ2" s="58">
        <v>720122.84</v>
      </c>
      <c r="AK2" s="58">
        <v>736279.67</v>
      </c>
      <c r="AL2" s="58">
        <v>753183.24</v>
      </c>
      <c r="AM2" s="58">
        <v>770796.33</v>
      </c>
      <c r="AN2" s="58">
        <v>770796.33</v>
      </c>
      <c r="AO2" s="58">
        <v>785475.74</v>
      </c>
      <c r="AP2" s="58">
        <v>801993.97</v>
      </c>
      <c r="AQ2" s="58">
        <v>817161.9</v>
      </c>
      <c r="AR2" s="58">
        <v>832755.82</v>
      </c>
      <c r="AS2" s="58">
        <v>848727.48</v>
      </c>
      <c r="AT2" s="58">
        <v>865028.44</v>
      </c>
      <c r="AU2" s="58">
        <v>881608.91</v>
      </c>
      <c r="AV2" s="58">
        <v>898418.23</v>
      </c>
      <c r="AW2" s="58">
        <v>915409.08</v>
      </c>
      <c r="AX2" s="58">
        <v>932531.28</v>
      </c>
      <c r="AY2" s="58">
        <v>948233.12</v>
      </c>
      <c r="AZ2" s="58">
        <v>963646.21</v>
      </c>
      <c r="BA2" s="58">
        <v>963646.21</v>
      </c>
      <c r="BB2" s="58">
        <v>996062.53</v>
      </c>
      <c r="BC2" s="58">
        <v>1034020.12</v>
      </c>
      <c r="BD2" s="58">
        <v>1066207</v>
      </c>
      <c r="BE2" s="58">
        <v>1099175.76</v>
      </c>
      <c r="BF2" s="58">
        <v>1132910.82</v>
      </c>
      <c r="BG2" s="58">
        <v>1167396.24</v>
      </c>
      <c r="BH2" s="58">
        <v>1202616.5</v>
      </c>
      <c r="BI2" s="58">
        <v>1238555.6000000001</v>
      </c>
      <c r="BJ2" s="58">
        <v>1275203.06</v>
      </c>
      <c r="BK2" s="58">
        <v>1312540.1100000001</v>
      </c>
      <c r="BL2" s="58">
        <v>1348682.49</v>
      </c>
      <c r="BM2" s="58">
        <v>1385487.74</v>
      </c>
      <c r="BN2" s="58">
        <v>1385487.74</v>
      </c>
      <c r="BO2" s="58">
        <v>1426852.39</v>
      </c>
      <c r="BP2" s="58">
        <v>1469761.24</v>
      </c>
      <c r="BQ2" s="58">
        <v>1513362.04</v>
      </c>
      <c r="BR2" s="58">
        <v>1557640.21</v>
      </c>
      <c r="BS2" s="58">
        <v>1602581.23</v>
      </c>
      <c r="BT2" s="58">
        <v>1648175.08</v>
      </c>
      <c r="BU2" s="58">
        <v>1694409.63</v>
      </c>
      <c r="BV2" s="58">
        <v>1741266.76</v>
      </c>
      <c r="BW2" s="58">
        <v>1788737.47</v>
      </c>
      <c r="BX2" s="58">
        <v>1836809.14</v>
      </c>
      <c r="BY2" s="58">
        <v>1885469.13</v>
      </c>
      <c r="BZ2" s="58">
        <v>1934705.33</v>
      </c>
      <c r="CA2" s="58">
        <v>1934705.33</v>
      </c>
      <c r="CB2" s="58">
        <v>1980066.58</v>
      </c>
      <c r="CC2" s="58">
        <v>2026790.33</v>
      </c>
      <c r="CD2" s="58">
        <v>2074060.37</v>
      </c>
      <c r="CE2" s="58">
        <v>2121869.09</v>
      </c>
      <c r="CF2" s="58">
        <v>2170201.8199999998</v>
      </c>
      <c r="CG2" s="58">
        <v>2219050.92</v>
      </c>
      <c r="CH2" s="58">
        <v>2268406.6800000002</v>
      </c>
      <c r="CI2" s="58">
        <v>2318258.4700000002</v>
      </c>
      <c r="CJ2" s="58">
        <v>2367097.77</v>
      </c>
      <c r="CK2" s="58">
        <v>2415100.15</v>
      </c>
      <c r="CL2" s="58">
        <v>2463444.94</v>
      </c>
      <c r="CM2" s="58">
        <v>2512245.98</v>
      </c>
      <c r="CN2" s="58">
        <v>2512245.98</v>
      </c>
      <c r="CO2" s="58">
        <v>2512245.98</v>
      </c>
    </row>
    <row r="3" spans="1:93" ht="14.4" x14ac:dyDescent="0.3">
      <c r="A3" s="56" t="s">
        <v>161</v>
      </c>
      <c r="B3" s="58">
        <v>7291.33</v>
      </c>
      <c r="C3" s="58">
        <v>13003.46</v>
      </c>
      <c r="D3" s="58">
        <v>23857.83</v>
      </c>
      <c r="E3" s="58">
        <v>39747.660000000003</v>
      </c>
      <c r="F3" s="58">
        <v>60044.1</v>
      </c>
      <c r="G3" s="58">
        <v>84087.16</v>
      </c>
      <c r="H3" s="58">
        <v>110727.89</v>
      </c>
      <c r="I3" s="58">
        <v>140890.26999999999</v>
      </c>
      <c r="J3" s="58">
        <v>174500.68</v>
      </c>
      <c r="K3" s="58">
        <v>211463.18</v>
      </c>
      <c r="L3" s="58">
        <v>251688.55</v>
      </c>
      <c r="M3" s="58">
        <v>295103.06</v>
      </c>
      <c r="N3" s="58">
        <v>295103.06</v>
      </c>
      <c r="O3" s="58">
        <v>328895.65999999997</v>
      </c>
      <c r="P3" s="58">
        <v>357266.92</v>
      </c>
      <c r="Q3" s="58">
        <v>386954.62</v>
      </c>
      <c r="R3" s="58">
        <v>417895.89</v>
      </c>
      <c r="S3" s="58">
        <v>450090.91</v>
      </c>
      <c r="T3" s="58">
        <v>483481.45</v>
      </c>
      <c r="U3" s="58">
        <v>518012.58</v>
      </c>
      <c r="V3" s="58">
        <v>553703.32999999996</v>
      </c>
      <c r="W3" s="58">
        <v>565507.04</v>
      </c>
      <c r="X3" s="58">
        <v>578367.18999999994</v>
      </c>
      <c r="Y3" s="58">
        <v>592235.57999999996</v>
      </c>
      <c r="Z3" s="58">
        <v>607153.61</v>
      </c>
      <c r="AA3" s="58">
        <v>607153.61</v>
      </c>
      <c r="AB3" s="58">
        <v>617600.55000000005</v>
      </c>
      <c r="AC3" s="58">
        <v>629836.63</v>
      </c>
      <c r="AD3" s="58">
        <v>640517.69999999995</v>
      </c>
      <c r="AE3" s="58">
        <v>651664.93000000005</v>
      </c>
      <c r="AF3" s="58">
        <v>663667.06000000006</v>
      </c>
      <c r="AG3" s="58">
        <v>676482.64</v>
      </c>
      <c r="AH3" s="58">
        <v>690184.91</v>
      </c>
      <c r="AI3" s="58">
        <v>704745.46</v>
      </c>
      <c r="AJ3" s="58">
        <v>720122.84</v>
      </c>
      <c r="AK3" s="58">
        <v>736279.67</v>
      </c>
      <c r="AL3" s="58">
        <v>753183.24</v>
      </c>
      <c r="AM3" s="58">
        <v>770796.33</v>
      </c>
      <c r="AN3" s="58">
        <v>770796.33</v>
      </c>
      <c r="AO3" s="58">
        <v>785475.74</v>
      </c>
      <c r="AP3" s="58">
        <v>801993.97</v>
      </c>
      <c r="AQ3" s="58">
        <v>817161.9</v>
      </c>
      <c r="AR3" s="58">
        <v>832755.82</v>
      </c>
      <c r="AS3" s="58">
        <v>848727.48</v>
      </c>
      <c r="AT3" s="58">
        <v>865028.44</v>
      </c>
      <c r="AU3" s="58">
        <v>881608.91</v>
      </c>
      <c r="AV3" s="58">
        <v>898418.23</v>
      </c>
      <c r="AW3" s="58">
        <v>915409.08</v>
      </c>
      <c r="AX3" s="58">
        <v>932531.28</v>
      </c>
      <c r="AY3" s="58">
        <v>948233.12</v>
      </c>
      <c r="AZ3" s="58">
        <v>963646.21</v>
      </c>
      <c r="BA3" s="58">
        <v>963646.21</v>
      </c>
      <c r="BB3" s="58">
        <v>996062.53</v>
      </c>
      <c r="BC3" s="58">
        <v>1034020.12</v>
      </c>
      <c r="BD3" s="58">
        <v>1066207</v>
      </c>
      <c r="BE3" s="58">
        <v>1099175.76</v>
      </c>
      <c r="BF3" s="58">
        <v>1132910.82</v>
      </c>
      <c r="BG3" s="58">
        <v>1167396.24</v>
      </c>
      <c r="BH3" s="58">
        <v>1202616.5</v>
      </c>
      <c r="BI3" s="58">
        <v>1238555.6000000001</v>
      </c>
      <c r="BJ3" s="58">
        <v>1275203.06</v>
      </c>
      <c r="BK3" s="58">
        <v>1312540.1100000001</v>
      </c>
      <c r="BL3" s="58">
        <v>1348682.49</v>
      </c>
      <c r="BM3" s="58">
        <v>1385487.74</v>
      </c>
      <c r="BN3" s="58">
        <v>1385487.74</v>
      </c>
      <c r="BO3" s="58">
        <v>1426852.39</v>
      </c>
      <c r="BP3" s="58">
        <v>1469761.24</v>
      </c>
      <c r="BQ3" s="58">
        <v>1513362.04</v>
      </c>
      <c r="BR3" s="58">
        <v>1557640.21</v>
      </c>
      <c r="BS3" s="58">
        <v>1602581.23</v>
      </c>
      <c r="BT3" s="58">
        <v>1648175.08</v>
      </c>
      <c r="BU3" s="58">
        <v>1694409.63</v>
      </c>
      <c r="BV3" s="58">
        <v>1741266.76</v>
      </c>
      <c r="BW3" s="58">
        <v>1788737.47</v>
      </c>
      <c r="BX3" s="58">
        <v>1836809.14</v>
      </c>
      <c r="BY3" s="58">
        <v>1885469.13</v>
      </c>
      <c r="BZ3" s="58">
        <v>1934705.33</v>
      </c>
      <c r="CA3" s="58">
        <v>1934705.33</v>
      </c>
      <c r="CB3" s="58">
        <v>1980066.58</v>
      </c>
      <c r="CC3" s="58">
        <v>2026790.33</v>
      </c>
      <c r="CD3" s="58">
        <v>2074060.37</v>
      </c>
      <c r="CE3" s="58">
        <v>2121869.09</v>
      </c>
      <c r="CF3" s="58">
        <v>2170201.8199999998</v>
      </c>
      <c r="CG3" s="58">
        <v>2219050.92</v>
      </c>
      <c r="CH3" s="58">
        <v>2268406.6800000002</v>
      </c>
      <c r="CI3" s="58">
        <v>2318258.4700000002</v>
      </c>
      <c r="CJ3" s="58">
        <v>2367097.77</v>
      </c>
      <c r="CK3" s="58">
        <v>2415100.15</v>
      </c>
      <c r="CL3" s="58">
        <v>2463444.94</v>
      </c>
      <c r="CM3" s="58">
        <v>2512245.98</v>
      </c>
      <c r="CN3" s="58">
        <v>2512245.98</v>
      </c>
      <c r="CO3" s="58">
        <v>2512245.98</v>
      </c>
    </row>
    <row r="4" spans="1:93" ht="14.4" x14ac:dyDescent="0.3">
      <c r="A4" s="56" t="s">
        <v>162</v>
      </c>
      <c r="B4" s="58">
        <v>7291.33</v>
      </c>
      <c r="C4" s="58">
        <v>13003.46</v>
      </c>
      <c r="D4" s="58">
        <v>23857.83</v>
      </c>
      <c r="E4" s="58">
        <v>39747.660000000003</v>
      </c>
      <c r="F4" s="58">
        <v>60044.1</v>
      </c>
      <c r="G4" s="58">
        <v>84087.16</v>
      </c>
      <c r="H4" s="58">
        <v>110727.89</v>
      </c>
      <c r="I4" s="58">
        <v>140890.26999999999</v>
      </c>
      <c r="J4" s="58">
        <v>174500.68</v>
      </c>
      <c r="K4" s="58">
        <v>211463.18</v>
      </c>
      <c r="L4" s="58">
        <v>251688.55</v>
      </c>
      <c r="M4" s="58">
        <v>295103.06</v>
      </c>
      <c r="N4" s="58">
        <v>295103.06</v>
      </c>
      <c r="O4" s="58">
        <v>328895.65999999997</v>
      </c>
      <c r="P4" s="58">
        <v>357266.92</v>
      </c>
      <c r="Q4" s="58">
        <v>386954.62</v>
      </c>
      <c r="R4" s="58">
        <v>417895.89</v>
      </c>
      <c r="S4" s="58">
        <v>450090.91</v>
      </c>
      <c r="T4" s="58">
        <v>483481.45</v>
      </c>
      <c r="U4" s="58">
        <v>518012.58</v>
      </c>
      <c r="V4" s="58">
        <v>553703.32999999996</v>
      </c>
      <c r="W4" s="58">
        <v>565507.04</v>
      </c>
      <c r="X4" s="58">
        <v>578367.18999999994</v>
      </c>
      <c r="Y4" s="58">
        <v>592235.57999999996</v>
      </c>
      <c r="Z4" s="58">
        <v>607153.61</v>
      </c>
      <c r="AA4" s="58">
        <v>607153.61</v>
      </c>
      <c r="AB4" s="58">
        <v>617600.55000000005</v>
      </c>
      <c r="AC4" s="58">
        <v>629836.63</v>
      </c>
      <c r="AD4" s="58">
        <v>640517.69999999995</v>
      </c>
      <c r="AE4" s="58">
        <v>651664.93000000005</v>
      </c>
      <c r="AF4" s="58">
        <v>663667.06000000006</v>
      </c>
      <c r="AG4" s="58">
        <v>676482.64</v>
      </c>
      <c r="AH4" s="58">
        <v>690184.91</v>
      </c>
      <c r="AI4" s="58">
        <v>704745.46</v>
      </c>
      <c r="AJ4" s="58">
        <v>720122.84</v>
      </c>
      <c r="AK4" s="58">
        <v>736279.67</v>
      </c>
      <c r="AL4" s="58">
        <v>753183.24</v>
      </c>
      <c r="AM4" s="58">
        <v>770796.33</v>
      </c>
      <c r="AN4" s="58">
        <v>770796.33</v>
      </c>
      <c r="AO4" s="58">
        <v>785475.74</v>
      </c>
      <c r="AP4" s="58">
        <v>801993.97</v>
      </c>
      <c r="AQ4" s="58">
        <v>817161.9</v>
      </c>
      <c r="AR4" s="58">
        <v>832755.82</v>
      </c>
      <c r="AS4" s="58">
        <v>848727.48</v>
      </c>
      <c r="AT4" s="58">
        <v>865028.44</v>
      </c>
      <c r="AU4" s="58">
        <v>881608.91</v>
      </c>
      <c r="AV4" s="58">
        <v>898418.23</v>
      </c>
      <c r="AW4" s="58">
        <v>915409.08</v>
      </c>
      <c r="AX4" s="58">
        <v>932531.28</v>
      </c>
      <c r="AY4" s="58">
        <v>948233.12</v>
      </c>
      <c r="AZ4" s="58">
        <v>963646.21</v>
      </c>
      <c r="BA4" s="58">
        <v>963646.21</v>
      </c>
      <c r="BB4" s="58">
        <v>996062.53</v>
      </c>
      <c r="BC4" s="58">
        <v>1034020.12</v>
      </c>
      <c r="BD4" s="58">
        <v>1066207</v>
      </c>
      <c r="BE4" s="58">
        <v>1099175.76</v>
      </c>
      <c r="BF4" s="58">
        <v>1132910.82</v>
      </c>
      <c r="BG4" s="58">
        <v>1167396.24</v>
      </c>
      <c r="BH4" s="58">
        <v>1202616.5</v>
      </c>
      <c r="BI4" s="58">
        <v>1238555.6000000001</v>
      </c>
      <c r="BJ4" s="58">
        <v>1275203.06</v>
      </c>
      <c r="BK4" s="58">
        <v>1312540.1100000001</v>
      </c>
      <c r="BL4" s="58">
        <v>1348682.49</v>
      </c>
      <c r="BM4" s="58">
        <v>1385487.74</v>
      </c>
      <c r="BN4" s="58">
        <v>1385487.74</v>
      </c>
      <c r="BO4" s="58">
        <v>1426852.39</v>
      </c>
      <c r="BP4" s="58">
        <v>1469761.24</v>
      </c>
      <c r="BQ4" s="58">
        <v>1513362.04</v>
      </c>
      <c r="BR4" s="58">
        <v>1557640.21</v>
      </c>
      <c r="BS4" s="58">
        <v>1602581.23</v>
      </c>
      <c r="BT4" s="58">
        <v>1648175.08</v>
      </c>
      <c r="BU4" s="58">
        <v>1694409.63</v>
      </c>
      <c r="BV4" s="58">
        <v>1741266.76</v>
      </c>
      <c r="BW4" s="58">
        <v>1788737.47</v>
      </c>
      <c r="BX4" s="58">
        <v>1836809.14</v>
      </c>
      <c r="BY4" s="58">
        <v>1885469.13</v>
      </c>
      <c r="BZ4" s="58">
        <v>1934705.33</v>
      </c>
      <c r="CA4" s="58">
        <v>1934705.33</v>
      </c>
      <c r="CB4" s="58">
        <v>1980066.58</v>
      </c>
      <c r="CC4" s="58">
        <v>2026790.33</v>
      </c>
      <c r="CD4" s="58">
        <v>2074060.37</v>
      </c>
      <c r="CE4" s="58">
        <v>2121869.09</v>
      </c>
      <c r="CF4" s="58">
        <v>2170201.8199999998</v>
      </c>
      <c r="CG4" s="58">
        <v>2219050.92</v>
      </c>
      <c r="CH4" s="58">
        <v>2268406.6800000002</v>
      </c>
      <c r="CI4" s="58">
        <v>2318258.4700000002</v>
      </c>
      <c r="CJ4" s="58">
        <v>2367097.77</v>
      </c>
      <c r="CK4" s="58">
        <v>2415100.15</v>
      </c>
      <c r="CL4" s="58">
        <v>2463444.94</v>
      </c>
      <c r="CM4" s="58">
        <v>2512245.98</v>
      </c>
      <c r="CN4" s="58">
        <v>2512245.98</v>
      </c>
      <c r="CO4" s="58">
        <v>2512245.98</v>
      </c>
    </row>
    <row r="5" spans="1:93" ht="14.4" x14ac:dyDescent="0.3">
      <c r="A5" s="56" t="s">
        <v>163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v>0</v>
      </c>
      <c r="AJ5" s="58">
        <v>0</v>
      </c>
      <c r="AK5" s="58">
        <v>0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8">
        <v>0</v>
      </c>
      <c r="AS5" s="58">
        <v>0</v>
      </c>
      <c r="AT5" s="58">
        <v>0</v>
      </c>
      <c r="AU5" s="58">
        <v>0</v>
      </c>
      <c r="AV5" s="58">
        <v>0</v>
      </c>
      <c r="AW5" s="58">
        <v>0</v>
      </c>
      <c r="AX5" s="58">
        <v>0</v>
      </c>
      <c r="AY5" s="58">
        <v>0</v>
      </c>
      <c r="AZ5" s="58">
        <v>0</v>
      </c>
      <c r="BA5" s="58">
        <v>0</v>
      </c>
      <c r="BB5" s="58">
        <v>0</v>
      </c>
      <c r="BC5" s="58">
        <v>0</v>
      </c>
      <c r="BD5" s="58">
        <v>0</v>
      </c>
      <c r="BE5" s="58">
        <v>0</v>
      </c>
      <c r="BF5" s="58">
        <v>0</v>
      </c>
      <c r="BG5" s="58">
        <v>0</v>
      </c>
      <c r="BH5" s="58">
        <v>0</v>
      </c>
      <c r="BI5" s="58">
        <v>0</v>
      </c>
      <c r="BJ5" s="58">
        <v>0</v>
      </c>
      <c r="BK5" s="58">
        <v>0</v>
      </c>
      <c r="BL5" s="58">
        <v>0</v>
      </c>
      <c r="BM5" s="58">
        <v>0</v>
      </c>
      <c r="BN5" s="58">
        <v>0</v>
      </c>
      <c r="BO5" s="58">
        <v>0</v>
      </c>
      <c r="BP5" s="58">
        <v>0</v>
      </c>
      <c r="BQ5" s="58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0</v>
      </c>
      <c r="BX5" s="58">
        <v>0</v>
      </c>
      <c r="BY5" s="58">
        <v>0</v>
      </c>
      <c r="BZ5" s="58">
        <v>0</v>
      </c>
      <c r="CA5" s="58">
        <v>0</v>
      </c>
      <c r="CB5" s="58">
        <v>0</v>
      </c>
      <c r="CC5" s="58">
        <v>0</v>
      </c>
      <c r="CD5" s="58">
        <v>0</v>
      </c>
      <c r="CE5" s="58">
        <v>0</v>
      </c>
      <c r="CF5" s="58">
        <v>0</v>
      </c>
      <c r="CG5" s="58">
        <v>0</v>
      </c>
      <c r="CH5" s="58">
        <v>0</v>
      </c>
      <c r="CI5" s="58">
        <v>0</v>
      </c>
      <c r="CJ5" s="58">
        <v>0</v>
      </c>
      <c r="CK5" s="58">
        <v>0</v>
      </c>
      <c r="CL5" s="58">
        <v>0</v>
      </c>
      <c r="CM5" s="58">
        <v>0</v>
      </c>
      <c r="CN5" s="58">
        <v>0</v>
      </c>
      <c r="CO5" s="58">
        <v>0</v>
      </c>
    </row>
    <row r="6" spans="1:93" ht="14.4" x14ac:dyDescent="0.3">
      <c r="A6" s="56" t="s">
        <v>164</v>
      </c>
      <c r="B6" s="58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58">
        <v>0</v>
      </c>
      <c r="AZ6" s="58">
        <v>0</v>
      </c>
      <c r="BA6" s="58">
        <v>0</v>
      </c>
      <c r="BB6" s="58">
        <v>0</v>
      </c>
      <c r="BC6" s="58">
        <v>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8">
        <v>0</v>
      </c>
      <c r="BZ6" s="58">
        <v>0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0</v>
      </c>
      <c r="CM6" s="58">
        <v>0</v>
      </c>
      <c r="CN6" s="58">
        <v>0</v>
      </c>
      <c r="CO6" s="58">
        <v>0</v>
      </c>
    </row>
    <row r="7" spans="1:93" ht="14.4" x14ac:dyDescent="0.3">
      <c r="A7" s="56" t="s">
        <v>165</v>
      </c>
      <c r="B7" s="58">
        <v>0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  <c r="AI7" s="58">
        <v>0</v>
      </c>
      <c r="AJ7" s="58">
        <v>0</v>
      </c>
      <c r="AK7" s="58">
        <v>0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58">
        <v>0</v>
      </c>
      <c r="AX7" s="58">
        <v>0</v>
      </c>
      <c r="AY7" s="58">
        <v>0</v>
      </c>
      <c r="AZ7" s="58">
        <v>0</v>
      </c>
      <c r="BA7" s="58">
        <v>0</v>
      </c>
      <c r="BB7" s="58">
        <v>0</v>
      </c>
      <c r="BC7" s="58">
        <v>0</v>
      </c>
      <c r="BD7" s="58">
        <v>0</v>
      </c>
      <c r="BE7" s="58">
        <v>0</v>
      </c>
      <c r="BF7" s="58">
        <v>0</v>
      </c>
      <c r="BG7" s="58">
        <v>0</v>
      </c>
      <c r="BH7" s="58">
        <v>0</v>
      </c>
      <c r="BI7" s="58">
        <v>0</v>
      </c>
      <c r="BJ7" s="58">
        <v>0</v>
      </c>
      <c r="BK7" s="58">
        <v>0</v>
      </c>
      <c r="BL7" s="58">
        <v>0</v>
      </c>
      <c r="BM7" s="58">
        <v>0</v>
      </c>
      <c r="BN7" s="58">
        <v>0</v>
      </c>
      <c r="BO7" s="58">
        <v>0</v>
      </c>
      <c r="BP7" s="58">
        <v>0</v>
      </c>
      <c r="BQ7" s="58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0</v>
      </c>
      <c r="BX7" s="58">
        <v>0</v>
      </c>
      <c r="BY7" s="58">
        <v>0</v>
      </c>
      <c r="BZ7" s="58">
        <v>0</v>
      </c>
      <c r="CA7" s="58">
        <v>0</v>
      </c>
      <c r="CB7" s="58">
        <v>0</v>
      </c>
      <c r="CC7" s="58">
        <v>0</v>
      </c>
      <c r="CD7" s="58">
        <v>0</v>
      </c>
      <c r="CE7" s="58">
        <v>0</v>
      </c>
      <c r="CF7" s="58">
        <v>0</v>
      </c>
      <c r="CG7" s="58">
        <v>0</v>
      </c>
      <c r="CH7" s="58">
        <v>0</v>
      </c>
      <c r="CI7" s="58">
        <v>0</v>
      </c>
      <c r="CJ7" s="58">
        <v>0</v>
      </c>
      <c r="CK7" s="58">
        <v>0</v>
      </c>
      <c r="CL7" s="58">
        <v>0</v>
      </c>
      <c r="CM7" s="58">
        <v>0</v>
      </c>
      <c r="CN7" s="58">
        <v>0</v>
      </c>
      <c r="CO7" s="58">
        <v>0</v>
      </c>
    </row>
    <row r="8" spans="1:93" ht="14.4" x14ac:dyDescent="0.3">
      <c r="A8" s="56" t="s">
        <v>166</v>
      </c>
      <c r="B8" s="58">
        <v>0</v>
      </c>
      <c r="C8" s="58">
        <v>0</v>
      </c>
      <c r="D8" s="58">
        <v>0</v>
      </c>
      <c r="E8" s="58">
        <v>0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58">
        <v>0</v>
      </c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  <c r="AY8" s="58">
        <v>0</v>
      </c>
      <c r="AZ8" s="58">
        <v>0</v>
      </c>
      <c r="BA8" s="58">
        <v>0</v>
      </c>
      <c r="BB8" s="58">
        <v>0</v>
      </c>
      <c r="BC8" s="58">
        <v>0</v>
      </c>
      <c r="BD8" s="58">
        <v>0</v>
      </c>
      <c r="BE8" s="58">
        <v>0</v>
      </c>
      <c r="BF8" s="58">
        <v>0</v>
      </c>
      <c r="BG8" s="58">
        <v>0</v>
      </c>
      <c r="BH8" s="58">
        <v>0</v>
      </c>
      <c r="BI8" s="58">
        <v>0</v>
      </c>
      <c r="BJ8" s="58">
        <v>0</v>
      </c>
      <c r="BK8" s="58">
        <v>0</v>
      </c>
      <c r="BL8" s="58">
        <v>0</v>
      </c>
      <c r="BM8" s="58">
        <v>0</v>
      </c>
      <c r="BN8" s="58">
        <v>0</v>
      </c>
      <c r="BO8" s="58">
        <v>0</v>
      </c>
      <c r="BP8" s="58">
        <v>0</v>
      </c>
      <c r="BQ8" s="58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0</v>
      </c>
      <c r="BX8" s="58">
        <v>0</v>
      </c>
      <c r="BY8" s="58">
        <v>0</v>
      </c>
      <c r="BZ8" s="58">
        <v>0</v>
      </c>
      <c r="CA8" s="58">
        <v>0</v>
      </c>
      <c r="CB8" s="58">
        <v>0</v>
      </c>
      <c r="CC8" s="58">
        <v>0</v>
      </c>
      <c r="CD8" s="58">
        <v>0</v>
      </c>
      <c r="CE8" s="58">
        <v>0</v>
      </c>
      <c r="CF8" s="58">
        <v>0</v>
      </c>
      <c r="CG8" s="58">
        <v>0</v>
      </c>
      <c r="CH8" s="58">
        <v>0</v>
      </c>
      <c r="CI8" s="58">
        <v>0</v>
      </c>
      <c r="CJ8" s="58">
        <v>0</v>
      </c>
      <c r="CK8" s="58">
        <v>0</v>
      </c>
      <c r="CL8" s="58">
        <v>0</v>
      </c>
      <c r="CM8" s="58">
        <v>0</v>
      </c>
      <c r="CN8" s="58">
        <v>0</v>
      </c>
      <c r="CO8" s="58">
        <v>0</v>
      </c>
    </row>
    <row r="9" spans="1:93" ht="14.4" x14ac:dyDescent="0.3">
      <c r="A9" s="56" t="s">
        <v>167</v>
      </c>
      <c r="B9" s="58">
        <v>0</v>
      </c>
      <c r="C9" s="58">
        <v>0</v>
      </c>
      <c r="D9" s="58">
        <v>0</v>
      </c>
      <c r="E9" s="58">
        <v>0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0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  <c r="AI9" s="58">
        <v>0</v>
      </c>
      <c r="AJ9" s="58">
        <v>0</v>
      </c>
      <c r="AK9" s="58">
        <v>0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58">
        <v>0</v>
      </c>
      <c r="AS9" s="58">
        <v>0</v>
      </c>
      <c r="AT9" s="58">
        <v>0</v>
      </c>
      <c r="AU9" s="58">
        <v>0</v>
      </c>
      <c r="AV9" s="58">
        <v>0</v>
      </c>
      <c r="AW9" s="58">
        <v>0</v>
      </c>
      <c r="AX9" s="58">
        <v>0</v>
      </c>
      <c r="AY9" s="58">
        <v>0</v>
      </c>
      <c r="AZ9" s="58">
        <v>0</v>
      </c>
      <c r="BA9" s="58">
        <v>0</v>
      </c>
      <c r="BB9" s="58">
        <v>0</v>
      </c>
      <c r="BC9" s="58">
        <v>0</v>
      </c>
      <c r="BD9" s="58">
        <v>0</v>
      </c>
      <c r="BE9" s="58">
        <v>0</v>
      </c>
      <c r="BF9" s="58">
        <v>0</v>
      </c>
      <c r="BG9" s="58">
        <v>0</v>
      </c>
      <c r="BH9" s="58">
        <v>0</v>
      </c>
      <c r="BI9" s="58">
        <v>0</v>
      </c>
      <c r="BJ9" s="58">
        <v>0</v>
      </c>
      <c r="BK9" s="58">
        <v>0</v>
      </c>
      <c r="BL9" s="58">
        <v>0</v>
      </c>
      <c r="BM9" s="58">
        <v>0</v>
      </c>
      <c r="BN9" s="58">
        <v>0</v>
      </c>
      <c r="BO9" s="58">
        <v>0</v>
      </c>
      <c r="BP9" s="58">
        <v>0</v>
      </c>
      <c r="BQ9" s="58">
        <v>0</v>
      </c>
      <c r="BR9" s="58">
        <v>0</v>
      </c>
      <c r="BS9" s="58">
        <v>0</v>
      </c>
      <c r="BT9" s="58">
        <v>0</v>
      </c>
      <c r="BU9" s="58">
        <v>0</v>
      </c>
      <c r="BV9" s="58">
        <v>0</v>
      </c>
      <c r="BW9" s="58">
        <v>0</v>
      </c>
      <c r="BX9" s="58">
        <v>0</v>
      </c>
      <c r="BY9" s="58">
        <v>0</v>
      </c>
      <c r="BZ9" s="58">
        <v>0</v>
      </c>
      <c r="CA9" s="58">
        <v>0</v>
      </c>
      <c r="CB9" s="58">
        <v>0</v>
      </c>
      <c r="CC9" s="58">
        <v>0</v>
      </c>
      <c r="CD9" s="58">
        <v>0</v>
      </c>
      <c r="CE9" s="58">
        <v>0</v>
      </c>
      <c r="CF9" s="58">
        <v>0</v>
      </c>
      <c r="CG9" s="58">
        <v>0</v>
      </c>
      <c r="CH9" s="58">
        <v>0</v>
      </c>
      <c r="CI9" s="58">
        <v>0</v>
      </c>
      <c r="CJ9" s="58">
        <v>0</v>
      </c>
      <c r="CK9" s="58">
        <v>0</v>
      </c>
      <c r="CL9" s="58">
        <v>0</v>
      </c>
      <c r="CM9" s="58">
        <v>0</v>
      </c>
      <c r="CN9" s="58">
        <v>0</v>
      </c>
      <c r="CO9" s="58">
        <v>0</v>
      </c>
    </row>
    <row r="10" spans="1:93" ht="14.4" x14ac:dyDescent="0.3">
      <c r="A10" s="56" t="s">
        <v>168</v>
      </c>
      <c r="B10" s="58">
        <v>0</v>
      </c>
      <c r="C10" s="58">
        <v>0</v>
      </c>
      <c r="D10" s="58">
        <v>0</v>
      </c>
      <c r="E10" s="58">
        <v>0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>
        <v>0</v>
      </c>
      <c r="AK10" s="58">
        <v>0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58">
        <v>0</v>
      </c>
      <c r="AW10" s="58">
        <v>0</v>
      </c>
      <c r="AX10" s="58">
        <v>0</v>
      </c>
      <c r="AY10" s="58">
        <v>0</v>
      </c>
      <c r="AZ10" s="58">
        <v>0</v>
      </c>
      <c r="BA10" s="58">
        <v>0</v>
      </c>
      <c r="BB10" s="58">
        <v>0</v>
      </c>
      <c r="BC10" s="58">
        <v>0</v>
      </c>
      <c r="BD10" s="58">
        <v>0</v>
      </c>
      <c r="BE10" s="58">
        <v>0</v>
      </c>
      <c r="BF10" s="58">
        <v>0</v>
      </c>
      <c r="BG10" s="58">
        <v>0</v>
      </c>
      <c r="BH10" s="58">
        <v>0</v>
      </c>
      <c r="BI10" s="58">
        <v>0</v>
      </c>
      <c r="BJ10" s="58">
        <v>0</v>
      </c>
      <c r="BK10" s="58">
        <v>0</v>
      </c>
      <c r="BL10" s="58">
        <v>0</v>
      </c>
      <c r="BM10" s="58">
        <v>0</v>
      </c>
      <c r="BN10" s="58">
        <v>0</v>
      </c>
      <c r="BO10" s="58">
        <v>0</v>
      </c>
      <c r="BP10" s="58">
        <v>0</v>
      </c>
      <c r="BQ10" s="58">
        <v>0</v>
      </c>
      <c r="BR10" s="58">
        <v>0</v>
      </c>
      <c r="BS10" s="58">
        <v>0</v>
      </c>
      <c r="BT10" s="58">
        <v>0</v>
      </c>
      <c r="BU10" s="58">
        <v>0</v>
      </c>
      <c r="BV10" s="58">
        <v>0</v>
      </c>
      <c r="BW10" s="58">
        <v>0</v>
      </c>
      <c r="BX10" s="58">
        <v>0</v>
      </c>
      <c r="BY10" s="58">
        <v>0</v>
      </c>
      <c r="BZ10" s="58">
        <v>0</v>
      </c>
      <c r="CA10" s="58">
        <v>0</v>
      </c>
      <c r="CB10" s="58">
        <v>0</v>
      </c>
      <c r="CC10" s="58">
        <v>0</v>
      </c>
      <c r="CD10" s="58">
        <v>0</v>
      </c>
      <c r="CE10" s="58">
        <v>0</v>
      </c>
      <c r="CF10" s="58">
        <v>0</v>
      </c>
      <c r="CG10" s="58">
        <v>0</v>
      </c>
      <c r="CH10" s="58">
        <v>0</v>
      </c>
      <c r="CI10" s="58">
        <v>0</v>
      </c>
      <c r="CJ10" s="58">
        <v>0</v>
      </c>
      <c r="CK10" s="58">
        <v>0</v>
      </c>
      <c r="CL10" s="58">
        <v>0</v>
      </c>
      <c r="CM10" s="58">
        <v>0</v>
      </c>
      <c r="CN10" s="58">
        <v>0</v>
      </c>
      <c r="CO10" s="58">
        <v>0</v>
      </c>
    </row>
    <row r="11" spans="1:93" ht="14.4" x14ac:dyDescent="0.3">
      <c r="A11" s="56" t="s">
        <v>169</v>
      </c>
    </row>
    <row r="12" spans="1:93" ht="14.4" x14ac:dyDescent="0.3">
      <c r="A12" s="56" t="s">
        <v>170</v>
      </c>
      <c r="B12" s="58">
        <v>7291.33</v>
      </c>
      <c r="C12" s="58">
        <v>13003.46</v>
      </c>
      <c r="D12" s="58">
        <v>23857.83</v>
      </c>
      <c r="E12" s="58">
        <v>39747.660000000003</v>
      </c>
      <c r="F12" s="58">
        <v>60044.1</v>
      </c>
      <c r="G12" s="58">
        <v>84087.16</v>
      </c>
      <c r="H12" s="58">
        <v>110727.89</v>
      </c>
      <c r="I12" s="58">
        <v>140890.26999999999</v>
      </c>
      <c r="J12" s="58">
        <v>174500.68</v>
      </c>
      <c r="K12" s="58">
        <v>211463.18</v>
      </c>
      <c r="L12" s="58">
        <v>251688.55</v>
      </c>
      <c r="M12" s="58">
        <v>295103.06</v>
      </c>
      <c r="N12" s="58">
        <v>295103.06</v>
      </c>
      <c r="O12" s="58">
        <v>328895.65999999997</v>
      </c>
      <c r="P12" s="58">
        <v>357266.92</v>
      </c>
      <c r="Q12" s="58">
        <v>386954.62</v>
      </c>
      <c r="R12" s="58">
        <v>417895.89</v>
      </c>
      <c r="S12" s="58">
        <v>450090.91</v>
      </c>
      <c r="T12" s="58">
        <v>483481.45</v>
      </c>
      <c r="U12" s="58">
        <v>518012.58</v>
      </c>
      <c r="V12" s="58">
        <v>553703.32999999996</v>
      </c>
      <c r="W12" s="58">
        <v>565507.04</v>
      </c>
      <c r="X12" s="58">
        <v>578367.18999999994</v>
      </c>
      <c r="Y12" s="58">
        <v>592235.57999999996</v>
      </c>
      <c r="Z12" s="58">
        <v>607153.61</v>
      </c>
      <c r="AA12" s="58">
        <v>607153.61</v>
      </c>
      <c r="AB12" s="58">
        <v>617600.55000000005</v>
      </c>
      <c r="AC12" s="58">
        <v>629836.63</v>
      </c>
      <c r="AD12" s="58">
        <v>640517.69999999995</v>
      </c>
      <c r="AE12" s="58">
        <v>651664.93000000005</v>
      </c>
      <c r="AF12" s="58">
        <v>663667.06000000006</v>
      </c>
      <c r="AG12" s="58">
        <v>676482.64</v>
      </c>
      <c r="AH12" s="58">
        <v>690184.91</v>
      </c>
      <c r="AI12" s="58">
        <v>704745.46</v>
      </c>
      <c r="AJ12" s="58">
        <v>720122.84</v>
      </c>
      <c r="AK12" s="58">
        <v>736279.67</v>
      </c>
      <c r="AL12" s="58">
        <v>753183.24</v>
      </c>
      <c r="AM12" s="58">
        <v>770796.33</v>
      </c>
      <c r="AN12" s="58">
        <v>770796.33</v>
      </c>
      <c r="AO12" s="58">
        <v>785475.74</v>
      </c>
      <c r="AP12" s="58">
        <v>801993.97</v>
      </c>
      <c r="AQ12" s="58">
        <v>817161.9</v>
      </c>
      <c r="AR12" s="58">
        <v>832755.82</v>
      </c>
      <c r="AS12" s="58">
        <v>848727.48</v>
      </c>
      <c r="AT12" s="58">
        <v>865028.44</v>
      </c>
      <c r="AU12" s="58">
        <v>881608.91</v>
      </c>
      <c r="AV12" s="58">
        <v>898418.23</v>
      </c>
      <c r="AW12" s="58">
        <v>915409.08</v>
      </c>
      <c r="AX12" s="58">
        <v>932531.28</v>
      </c>
      <c r="AY12" s="58">
        <v>948233.12</v>
      </c>
      <c r="AZ12" s="58">
        <v>963646.21</v>
      </c>
      <c r="BA12" s="58">
        <v>963646.21</v>
      </c>
      <c r="BB12" s="58">
        <v>996062.53</v>
      </c>
      <c r="BC12" s="58">
        <v>1034020.12</v>
      </c>
      <c r="BD12" s="58">
        <v>1066207</v>
      </c>
      <c r="BE12" s="58">
        <v>1099175.76</v>
      </c>
      <c r="BF12" s="58">
        <v>1132910.82</v>
      </c>
      <c r="BG12" s="58">
        <v>1167396.24</v>
      </c>
      <c r="BH12" s="58">
        <v>1202616.5</v>
      </c>
      <c r="BI12" s="58">
        <v>1238555.6000000001</v>
      </c>
      <c r="BJ12" s="58">
        <v>1275203.06</v>
      </c>
      <c r="BK12" s="58">
        <v>1312540.1100000001</v>
      </c>
      <c r="BL12" s="58">
        <v>1348682.49</v>
      </c>
      <c r="BM12" s="58">
        <v>1385487.74</v>
      </c>
      <c r="BN12" s="58">
        <v>1385487.74</v>
      </c>
      <c r="BO12" s="58">
        <v>1426852.39</v>
      </c>
      <c r="BP12" s="58">
        <v>1469761.24</v>
      </c>
      <c r="BQ12" s="58">
        <v>1513362.04</v>
      </c>
      <c r="BR12" s="58">
        <v>1557640.21</v>
      </c>
      <c r="BS12" s="58">
        <v>1602581.23</v>
      </c>
      <c r="BT12" s="58">
        <v>1648175.08</v>
      </c>
      <c r="BU12" s="58">
        <v>1694409.63</v>
      </c>
      <c r="BV12" s="58">
        <v>1741266.76</v>
      </c>
      <c r="BW12" s="58">
        <v>1788737.47</v>
      </c>
      <c r="BX12" s="58">
        <v>1836809.14</v>
      </c>
      <c r="BY12" s="58">
        <v>1885469.13</v>
      </c>
      <c r="BZ12" s="58">
        <v>1934705.33</v>
      </c>
      <c r="CA12" s="58">
        <v>1934705.33</v>
      </c>
      <c r="CB12" s="58">
        <v>1980066.58</v>
      </c>
      <c r="CC12" s="58">
        <v>2026790.33</v>
      </c>
      <c r="CD12" s="58">
        <v>2074060.37</v>
      </c>
      <c r="CE12" s="58">
        <v>2121869.09</v>
      </c>
      <c r="CF12" s="58">
        <v>2170201.8199999998</v>
      </c>
      <c r="CG12" s="58">
        <v>2219050.92</v>
      </c>
      <c r="CH12" s="58">
        <v>2268406.6800000002</v>
      </c>
      <c r="CI12" s="58">
        <v>2318258.4700000002</v>
      </c>
      <c r="CJ12" s="58">
        <v>2367097.77</v>
      </c>
      <c r="CK12" s="58">
        <v>2415100.15</v>
      </c>
      <c r="CL12" s="58">
        <v>2463444.94</v>
      </c>
      <c r="CM12" s="58">
        <v>2512245.98</v>
      </c>
      <c r="CN12" s="58">
        <v>2512245.98</v>
      </c>
      <c r="CO12" s="58">
        <v>2512245.98</v>
      </c>
    </row>
    <row r="13" spans="1:93" ht="14.4" x14ac:dyDescent="0.3">
      <c r="A13" s="56" t="s">
        <v>171</v>
      </c>
      <c r="B13" s="58">
        <v>34223.33</v>
      </c>
      <c r="C13" s="58">
        <v>61137.42</v>
      </c>
      <c r="D13" s="58">
        <v>87578.67</v>
      </c>
      <c r="E13" s="58">
        <v>113552.41</v>
      </c>
      <c r="F13" s="58">
        <v>139562.91</v>
      </c>
      <c r="G13" s="58">
        <v>165166.43</v>
      </c>
      <c r="H13" s="58">
        <v>190297.3</v>
      </c>
      <c r="I13" s="58">
        <v>214961.75</v>
      </c>
      <c r="J13" s="58">
        <v>239164.58</v>
      </c>
      <c r="K13" s="58">
        <v>262888.27</v>
      </c>
      <c r="L13" s="58">
        <v>286121.02</v>
      </c>
      <c r="M13" s="58">
        <v>308862.65999999997</v>
      </c>
      <c r="N13" s="58">
        <v>308862.65999999997</v>
      </c>
      <c r="O13" s="58">
        <v>330948.86</v>
      </c>
      <c r="P13" s="58">
        <v>352698.43</v>
      </c>
      <c r="Q13" s="58">
        <v>374001.45</v>
      </c>
      <c r="R13" s="58">
        <v>394830.41</v>
      </c>
      <c r="S13" s="58">
        <v>415220.31</v>
      </c>
      <c r="T13" s="58">
        <v>435148.29</v>
      </c>
      <c r="U13" s="58">
        <v>454591.83</v>
      </c>
      <c r="V13" s="58">
        <v>473602.86</v>
      </c>
      <c r="W13" s="58">
        <v>467165.25</v>
      </c>
      <c r="X13" s="58">
        <v>460254.91</v>
      </c>
      <c r="Y13" s="58">
        <v>452854.11</v>
      </c>
      <c r="Z13" s="58">
        <v>445034.76</v>
      </c>
      <c r="AA13" s="58">
        <v>445034.76</v>
      </c>
      <c r="AB13" s="58">
        <v>435955.88</v>
      </c>
      <c r="AC13" s="58">
        <v>427231.52</v>
      </c>
      <c r="AD13" s="58">
        <v>418482.47</v>
      </c>
      <c r="AE13" s="58">
        <v>408819.19</v>
      </c>
      <c r="AF13" s="58">
        <v>398659.02</v>
      </c>
      <c r="AG13" s="58">
        <v>387986.69</v>
      </c>
      <c r="AH13" s="58">
        <v>376903.97</v>
      </c>
      <c r="AI13" s="58">
        <v>365406.71</v>
      </c>
      <c r="AJ13" s="58">
        <v>353479.1</v>
      </c>
      <c r="AK13" s="58">
        <v>341109.92</v>
      </c>
      <c r="AL13" s="58">
        <v>328290.68</v>
      </c>
      <c r="AM13" s="58">
        <v>315007.90000000002</v>
      </c>
      <c r="AN13" s="58">
        <v>315007.90000000002</v>
      </c>
      <c r="AO13" s="58">
        <v>300051.53999999998</v>
      </c>
      <c r="AP13" s="58">
        <v>285883.03999999998</v>
      </c>
      <c r="AQ13" s="58">
        <v>271114.7</v>
      </c>
      <c r="AR13" s="58">
        <v>255670.87</v>
      </c>
      <c r="AS13" s="58">
        <v>239524.63</v>
      </c>
      <c r="AT13" s="58">
        <v>222649.31</v>
      </c>
      <c r="AU13" s="58">
        <v>205016.95</v>
      </c>
      <c r="AV13" s="58">
        <v>186599.18</v>
      </c>
      <c r="AW13" s="58">
        <v>167367.59</v>
      </c>
      <c r="AX13" s="58">
        <v>147291.35</v>
      </c>
      <c r="AY13" s="58">
        <v>126651.43</v>
      </c>
      <c r="AZ13" s="58">
        <v>104785.57</v>
      </c>
      <c r="BA13" s="58">
        <v>104785.57</v>
      </c>
      <c r="BB13" s="58">
        <v>101298.69</v>
      </c>
      <c r="BC13" s="58">
        <v>109076.97</v>
      </c>
      <c r="BD13" s="58">
        <v>110264.11</v>
      </c>
      <c r="BE13" s="58">
        <v>111428.17</v>
      </c>
      <c r="BF13" s="58">
        <v>112569.59</v>
      </c>
      <c r="BG13" s="58">
        <v>113687.91</v>
      </c>
      <c r="BH13" s="58">
        <v>114783.62</v>
      </c>
      <c r="BI13" s="58">
        <v>115856.72</v>
      </c>
      <c r="BJ13" s="58">
        <v>116910.01</v>
      </c>
      <c r="BK13" s="58">
        <v>117940.2</v>
      </c>
      <c r="BL13" s="58">
        <v>118951.09</v>
      </c>
      <c r="BM13" s="58">
        <v>112706.25</v>
      </c>
      <c r="BN13" s="58">
        <v>112706.25</v>
      </c>
      <c r="BO13" s="58">
        <v>112772.5</v>
      </c>
      <c r="BP13" s="58">
        <v>113657.94</v>
      </c>
      <c r="BQ13" s="58">
        <v>114524.84</v>
      </c>
      <c r="BR13" s="58">
        <v>115373.18</v>
      </c>
      <c r="BS13" s="58">
        <v>116203.96</v>
      </c>
      <c r="BT13" s="58">
        <v>117019.28</v>
      </c>
      <c r="BU13" s="58">
        <v>117819.63</v>
      </c>
      <c r="BV13" s="58">
        <v>118601.43</v>
      </c>
      <c r="BW13" s="58">
        <v>119368.27</v>
      </c>
      <c r="BX13" s="58">
        <v>120120.16</v>
      </c>
      <c r="BY13" s="58">
        <v>120856.58</v>
      </c>
      <c r="BZ13" s="58">
        <v>121578.04</v>
      </c>
      <c r="CA13" s="58">
        <v>121578.04</v>
      </c>
      <c r="CB13" s="58">
        <v>121478.54</v>
      </c>
      <c r="CC13" s="58">
        <v>122167.67</v>
      </c>
      <c r="CD13" s="58">
        <v>122842.34</v>
      </c>
      <c r="CE13" s="58">
        <v>123504.13</v>
      </c>
      <c r="CF13" s="58">
        <v>124151.48</v>
      </c>
      <c r="CG13" s="58">
        <v>124786.45</v>
      </c>
      <c r="CH13" s="58">
        <v>125410.04</v>
      </c>
      <c r="CI13" s="58">
        <v>126020.78</v>
      </c>
      <c r="CJ13" s="58">
        <v>126933.64</v>
      </c>
      <c r="CK13" s="58">
        <v>127644.63</v>
      </c>
      <c r="CL13" s="58">
        <v>128219.75</v>
      </c>
      <c r="CM13" s="58">
        <v>128782.5</v>
      </c>
      <c r="CN13" s="58">
        <v>128782.5</v>
      </c>
      <c r="CO13" s="58">
        <v>128782.5</v>
      </c>
    </row>
    <row r="14" spans="1:93" ht="14.4" x14ac:dyDescent="0.3">
      <c r="A14" s="56" t="s">
        <v>172</v>
      </c>
      <c r="B14" s="58">
        <v>9432.2800000000007</v>
      </c>
      <c r="C14" s="58">
        <v>11973.22</v>
      </c>
      <c r="D14" s="58">
        <v>14461.31</v>
      </c>
      <c r="E14" s="58">
        <v>16900.63</v>
      </c>
      <c r="F14" s="58">
        <v>19801.71</v>
      </c>
      <c r="G14" s="58">
        <v>22711.62</v>
      </c>
      <c r="H14" s="58">
        <v>25563.86</v>
      </c>
      <c r="I14" s="58">
        <v>28357.96</v>
      </c>
      <c r="J14" s="58">
        <v>31097.48</v>
      </c>
      <c r="K14" s="58">
        <v>33782.44</v>
      </c>
      <c r="L14" s="58">
        <v>36412.33</v>
      </c>
      <c r="M14" s="58">
        <v>38990.74</v>
      </c>
      <c r="N14" s="58">
        <v>38990.74</v>
      </c>
      <c r="O14" s="58">
        <v>41349.17</v>
      </c>
      <c r="P14" s="58">
        <v>43792.63</v>
      </c>
      <c r="Q14" s="58">
        <v>46188.21</v>
      </c>
      <c r="R14" s="58">
        <v>48536.41</v>
      </c>
      <c r="S14" s="58">
        <v>50836.7</v>
      </c>
      <c r="T14" s="58">
        <v>53089.63</v>
      </c>
      <c r="U14" s="58">
        <v>55297.75</v>
      </c>
      <c r="V14" s="58">
        <v>57461.59</v>
      </c>
      <c r="W14" s="58">
        <v>59584.24</v>
      </c>
      <c r="X14" s="58">
        <v>61662.09</v>
      </c>
      <c r="Y14" s="58">
        <v>63698.73</v>
      </c>
      <c r="Z14" s="58">
        <v>65694.179999999993</v>
      </c>
      <c r="AA14" s="58">
        <v>65694.179999999993</v>
      </c>
      <c r="AB14" s="58">
        <v>66822.509999999995</v>
      </c>
      <c r="AC14" s="58">
        <v>68713.649999999994</v>
      </c>
      <c r="AD14" s="58">
        <v>71004.679999999993</v>
      </c>
      <c r="AE14" s="58">
        <v>72823.199999999997</v>
      </c>
      <c r="AF14" s="58">
        <v>74604.100000000006</v>
      </c>
      <c r="AG14" s="58">
        <v>76350.5</v>
      </c>
      <c r="AH14" s="58">
        <v>78059.28</v>
      </c>
      <c r="AI14" s="58">
        <v>79737.149999999994</v>
      </c>
      <c r="AJ14" s="58">
        <v>81380.009999999995</v>
      </c>
      <c r="AK14" s="58">
        <v>82988.33</v>
      </c>
      <c r="AL14" s="58">
        <v>84565.75</v>
      </c>
      <c r="AM14" s="58">
        <v>86111.73</v>
      </c>
      <c r="AN14" s="58">
        <v>86111.73</v>
      </c>
      <c r="AO14" s="58">
        <v>86429.2</v>
      </c>
      <c r="AP14" s="58">
        <v>87992.55</v>
      </c>
      <c r="AQ14" s="58">
        <v>89427.86</v>
      </c>
      <c r="AR14" s="58">
        <v>90835.85</v>
      </c>
      <c r="AS14" s="58">
        <v>92215.5</v>
      </c>
      <c r="AT14" s="58">
        <v>93567.31</v>
      </c>
      <c r="AU14" s="58">
        <v>94891.31</v>
      </c>
      <c r="AV14" s="58">
        <v>96187.97</v>
      </c>
      <c r="AW14" s="58">
        <v>97459.39</v>
      </c>
      <c r="AX14" s="58">
        <v>98706.08</v>
      </c>
      <c r="AY14" s="58">
        <v>100242.02</v>
      </c>
      <c r="AZ14" s="58">
        <v>101439.23</v>
      </c>
      <c r="BA14" s="58">
        <v>101439.23</v>
      </c>
      <c r="BB14" s="58">
        <v>101298.69</v>
      </c>
      <c r="BC14" s="58">
        <v>109076.97</v>
      </c>
      <c r="BD14" s="58">
        <v>110264.11</v>
      </c>
      <c r="BE14" s="58">
        <v>111428.17</v>
      </c>
      <c r="BF14" s="58">
        <v>112569.59</v>
      </c>
      <c r="BG14" s="58">
        <v>113687.91</v>
      </c>
      <c r="BH14" s="58">
        <v>114783.62</v>
      </c>
      <c r="BI14" s="58">
        <v>115856.72</v>
      </c>
      <c r="BJ14" s="58">
        <v>116910.01</v>
      </c>
      <c r="BK14" s="58">
        <v>117940.2</v>
      </c>
      <c r="BL14" s="58">
        <v>118951.09</v>
      </c>
      <c r="BM14" s="58">
        <v>112706.25</v>
      </c>
      <c r="BN14" s="58">
        <v>112706.25</v>
      </c>
      <c r="BO14" s="58">
        <v>112772.5</v>
      </c>
      <c r="BP14" s="58">
        <v>113657.94</v>
      </c>
      <c r="BQ14" s="58">
        <v>114524.84</v>
      </c>
      <c r="BR14" s="58">
        <v>115373.18</v>
      </c>
      <c r="BS14" s="58">
        <v>116203.96</v>
      </c>
      <c r="BT14" s="58">
        <v>117019.28</v>
      </c>
      <c r="BU14" s="58">
        <v>117819.63</v>
      </c>
      <c r="BV14" s="58">
        <v>118601.43</v>
      </c>
      <c r="BW14" s="58">
        <v>119368.27</v>
      </c>
      <c r="BX14" s="58">
        <v>120120.16</v>
      </c>
      <c r="BY14" s="58">
        <v>120856.58</v>
      </c>
      <c r="BZ14" s="58">
        <v>121578.04</v>
      </c>
      <c r="CA14" s="58">
        <v>121578.04</v>
      </c>
      <c r="CB14" s="58">
        <v>121478.54</v>
      </c>
      <c r="CC14" s="58">
        <v>122167.67</v>
      </c>
      <c r="CD14" s="58">
        <v>122842.34</v>
      </c>
      <c r="CE14" s="58">
        <v>123504.13</v>
      </c>
      <c r="CF14" s="58">
        <v>124151.48</v>
      </c>
      <c r="CG14" s="58">
        <v>124786.45</v>
      </c>
      <c r="CH14" s="58">
        <v>125410.04</v>
      </c>
      <c r="CI14" s="58">
        <v>126020.78</v>
      </c>
      <c r="CJ14" s="58">
        <v>126933.64</v>
      </c>
      <c r="CK14" s="58">
        <v>127644.63</v>
      </c>
      <c r="CL14" s="58">
        <v>128219.75</v>
      </c>
      <c r="CM14" s="58">
        <v>128782.5</v>
      </c>
      <c r="CN14" s="58">
        <v>128782.5</v>
      </c>
      <c r="CO14" s="58">
        <v>128782.5</v>
      </c>
    </row>
    <row r="15" spans="1:93" ht="14.4" x14ac:dyDescent="0.3">
      <c r="A15" s="56" t="s">
        <v>173</v>
      </c>
      <c r="B15" s="58">
        <v>8095</v>
      </c>
      <c r="C15" s="58">
        <v>9325.4</v>
      </c>
      <c r="D15" s="58">
        <v>10529.7</v>
      </c>
      <c r="E15" s="58">
        <v>11710.65</v>
      </c>
      <c r="F15" s="58">
        <v>13378.75</v>
      </c>
      <c r="G15" s="58">
        <v>15079.76</v>
      </c>
      <c r="H15" s="58">
        <v>16747.18</v>
      </c>
      <c r="I15" s="58">
        <v>18380.509999999998</v>
      </c>
      <c r="J15" s="58">
        <v>19982.009999999998</v>
      </c>
      <c r="K15" s="58">
        <v>21551.68</v>
      </c>
      <c r="L15" s="58">
        <v>23089.01</v>
      </c>
      <c r="M15" s="58">
        <v>24596.26</v>
      </c>
      <c r="N15" s="58">
        <v>24596.26</v>
      </c>
      <c r="O15" s="58">
        <v>25904.93</v>
      </c>
      <c r="P15" s="58">
        <v>27320.02</v>
      </c>
      <c r="Q15" s="58">
        <v>28707.29</v>
      </c>
      <c r="R15" s="58">
        <v>30067.23</v>
      </c>
      <c r="S15" s="58">
        <v>31399.34</v>
      </c>
      <c r="T15" s="58">
        <v>32704.13</v>
      </c>
      <c r="U15" s="58">
        <v>33982.85</v>
      </c>
      <c r="V15" s="58">
        <v>35236</v>
      </c>
      <c r="W15" s="58">
        <v>36465.339999999997</v>
      </c>
      <c r="X15" s="58">
        <v>37668.61</v>
      </c>
      <c r="Y15" s="58">
        <v>38848.06</v>
      </c>
      <c r="Z15" s="58">
        <v>40003.69</v>
      </c>
      <c r="AA15" s="58">
        <v>40003.69</v>
      </c>
      <c r="AB15" s="58">
        <v>40308.26</v>
      </c>
      <c r="AC15" s="58">
        <v>41393.019999999997</v>
      </c>
      <c r="AD15" s="58">
        <v>42893.72</v>
      </c>
      <c r="AE15" s="58">
        <v>43936.61</v>
      </c>
      <c r="AF15" s="58">
        <v>44957.94</v>
      </c>
      <c r="AG15" s="58">
        <v>45959.47</v>
      </c>
      <c r="AH15" s="58">
        <v>46939.44</v>
      </c>
      <c r="AI15" s="58">
        <v>47901.86</v>
      </c>
      <c r="AJ15" s="58">
        <v>48843.98</v>
      </c>
      <c r="AK15" s="58">
        <v>49766.29</v>
      </c>
      <c r="AL15" s="58">
        <v>50671.05</v>
      </c>
      <c r="AM15" s="58">
        <v>51557.760000000002</v>
      </c>
      <c r="AN15" s="58">
        <v>51557.760000000002</v>
      </c>
      <c r="AO15" s="58">
        <v>51229.32</v>
      </c>
      <c r="AP15" s="58">
        <v>52158.79</v>
      </c>
      <c r="AQ15" s="58">
        <v>52973.61</v>
      </c>
      <c r="AR15" s="58">
        <v>53773.13</v>
      </c>
      <c r="AS15" s="58">
        <v>54556.35</v>
      </c>
      <c r="AT15" s="58">
        <v>55323.78</v>
      </c>
      <c r="AU15" s="58">
        <v>56075.42</v>
      </c>
      <c r="AV15" s="58">
        <v>56811.76</v>
      </c>
      <c r="AW15" s="58">
        <v>57533.56</v>
      </c>
      <c r="AX15" s="58">
        <v>58241.32</v>
      </c>
      <c r="AY15" s="58">
        <v>59249.04</v>
      </c>
      <c r="AZ15" s="58">
        <v>59928.72</v>
      </c>
      <c r="BA15" s="58">
        <v>59928.72</v>
      </c>
      <c r="BB15" s="58">
        <v>59281.36</v>
      </c>
      <c r="BC15" s="58">
        <v>66562.16</v>
      </c>
      <c r="BD15" s="58">
        <v>67262.539999999994</v>
      </c>
      <c r="BE15" s="58">
        <v>67949.179999999993</v>
      </c>
      <c r="BF15" s="58">
        <v>68622.559999999998</v>
      </c>
      <c r="BG15" s="58">
        <v>69282.19</v>
      </c>
      <c r="BH15" s="58">
        <v>69928.570000000007</v>
      </c>
      <c r="BI15" s="58">
        <v>70561.710000000006</v>
      </c>
      <c r="BJ15" s="58">
        <v>71183.06</v>
      </c>
      <c r="BK15" s="58">
        <v>71790.67</v>
      </c>
      <c r="BL15" s="58">
        <v>72387</v>
      </c>
      <c r="BM15" s="58">
        <v>65735.63</v>
      </c>
      <c r="BN15" s="58">
        <v>65735.63</v>
      </c>
      <c r="BO15" s="58">
        <v>65403.37</v>
      </c>
      <c r="BP15" s="58">
        <v>65898.33</v>
      </c>
      <c r="BQ15" s="58">
        <v>66382.759999999995</v>
      </c>
      <c r="BR15" s="58">
        <v>66856.66</v>
      </c>
      <c r="BS15" s="58">
        <v>67321.03</v>
      </c>
      <c r="BT15" s="58">
        <v>67776.62</v>
      </c>
      <c r="BU15" s="58">
        <v>68223.929999999993</v>
      </c>
      <c r="BV15" s="58">
        <v>68660.710000000006</v>
      </c>
      <c r="BW15" s="58">
        <v>69089.22</v>
      </c>
      <c r="BX15" s="58">
        <v>69509.460000000006</v>
      </c>
      <c r="BY15" s="58">
        <v>69920.929999999993</v>
      </c>
      <c r="BZ15" s="58">
        <v>70324.11</v>
      </c>
      <c r="CA15" s="58">
        <v>70324.11</v>
      </c>
      <c r="CB15" s="58">
        <v>69913.03</v>
      </c>
      <c r="CC15" s="58">
        <v>70295.92</v>
      </c>
      <c r="CD15" s="58">
        <v>70671.03</v>
      </c>
      <c r="CE15" s="58">
        <v>71038.63</v>
      </c>
      <c r="CF15" s="58">
        <v>71398.460000000006</v>
      </c>
      <c r="CG15" s="58">
        <v>71751.259999999995</v>
      </c>
      <c r="CH15" s="58">
        <v>72098.039999999994</v>
      </c>
      <c r="CI15" s="58">
        <v>72437.31</v>
      </c>
      <c r="CJ15" s="58">
        <v>73084.05</v>
      </c>
      <c r="CK15" s="58">
        <v>73534.27</v>
      </c>
      <c r="CL15" s="58">
        <v>73853.97</v>
      </c>
      <c r="CM15" s="58">
        <v>74166.649999999994</v>
      </c>
      <c r="CN15" s="58">
        <v>74166.649999999994</v>
      </c>
      <c r="CO15" s="58">
        <v>74166.649999999994</v>
      </c>
    </row>
    <row r="16" spans="1:93" ht="14.4" x14ac:dyDescent="0.3">
      <c r="A16" s="56" t="s">
        <v>174</v>
      </c>
      <c r="B16" s="58">
        <v>0</v>
      </c>
      <c r="C16" s="58">
        <v>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58">
        <v>0</v>
      </c>
      <c r="Z16" s="58">
        <v>0</v>
      </c>
      <c r="AA16" s="58">
        <v>0</v>
      </c>
      <c r="AB16" s="58">
        <v>0</v>
      </c>
      <c r="AC16" s="58">
        <v>0</v>
      </c>
      <c r="AD16" s="58">
        <v>0</v>
      </c>
      <c r="AE16" s="58">
        <v>0</v>
      </c>
      <c r="AF16" s="58">
        <v>0</v>
      </c>
      <c r="AG16" s="58">
        <v>0</v>
      </c>
      <c r="AH16" s="58">
        <v>0</v>
      </c>
      <c r="AI16" s="58">
        <v>0</v>
      </c>
      <c r="AJ16" s="58">
        <v>0</v>
      </c>
      <c r="AK16" s="58">
        <v>0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58">
        <v>0</v>
      </c>
      <c r="AS16" s="58">
        <v>0</v>
      </c>
      <c r="AT16" s="58">
        <v>0</v>
      </c>
      <c r="AU16" s="58">
        <v>0</v>
      </c>
      <c r="AV16" s="58">
        <v>0</v>
      </c>
      <c r="AW16" s="58">
        <v>0</v>
      </c>
      <c r="AX16" s="58">
        <v>0</v>
      </c>
      <c r="AY16" s="58">
        <v>0</v>
      </c>
      <c r="AZ16" s="58">
        <v>0</v>
      </c>
      <c r="BA16" s="58">
        <v>0</v>
      </c>
      <c r="BB16" s="58">
        <v>0</v>
      </c>
      <c r="BC16" s="58">
        <v>0</v>
      </c>
      <c r="BD16" s="58">
        <v>0</v>
      </c>
      <c r="BE16" s="58">
        <v>0</v>
      </c>
      <c r="BF16" s="58">
        <v>0</v>
      </c>
      <c r="BG16" s="58">
        <v>0</v>
      </c>
      <c r="BH16" s="58">
        <v>0</v>
      </c>
      <c r="BI16" s="58">
        <v>0</v>
      </c>
      <c r="BJ16" s="58">
        <v>0</v>
      </c>
      <c r="BK16" s="58">
        <v>0</v>
      </c>
      <c r="BL16" s="58">
        <v>0</v>
      </c>
      <c r="BM16" s="58">
        <v>0</v>
      </c>
      <c r="BN16" s="58">
        <v>0</v>
      </c>
      <c r="BO16" s="58">
        <v>0</v>
      </c>
      <c r="BP16" s="58">
        <v>0</v>
      </c>
      <c r="BQ16" s="58">
        <v>0</v>
      </c>
      <c r="BR16" s="58">
        <v>0</v>
      </c>
      <c r="BS16" s="58">
        <v>0</v>
      </c>
      <c r="BT16" s="58">
        <v>0</v>
      </c>
      <c r="BU16" s="58">
        <v>0</v>
      </c>
      <c r="BV16" s="58">
        <v>0</v>
      </c>
      <c r="BW16" s="58">
        <v>0</v>
      </c>
      <c r="BX16" s="58">
        <v>0</v>
      </c>
      <c r="BY16" s="58">
        <v>0</v>
      </c>
      <c r="BZ16" s="58">
        <v>0</v>
      </c>
      <c r="CA16" s="58">
        <v>0</v>
      </c>
      <c r="CB16" s="58">
        <v>0</v>
      </c>
      <c r="CC16" s="58">
        <v>0</v>
      </c>
      <c r="CD16" s="58">
        <v>0</v>
      </c>
      <c r="CE16" s="58">
        <v>0</v>
      </c>
      <c r="CF16" s="58">
        <v>0</v>
      </c>
      <c r="CG16" s="58">
        <v>0</v>
      </c>
      <c r="CH16" s="58">
        <v>0</v>
      </c>
      <c r="CI16" s="58">
        <v>0</v>
      </c>
      <c r="CJ16" s="58">
        <v>0</v>
      </c>
      <c r="CK16" s="58">
        <v>0</v>
      </c>
      <c r="CL16" s="58">
        <v>0</v>
      </c>
      <c r="CM16" s="58">
        <v>0</v>
      </c>
      <c r="CN16" s="58">
        <v>0</v>
      </c>
      <c r="CO16" s="58">
        <v>0</v>
      </c>
    </row>
    <row r="17" spans="1:93" ht="14.4" x14ac:dyDescent="0.3">
      <c r="A17" s="56" t="s">
        <v>175</v>
      </c>
      <c r="B17" s="58">
        <v>1337.28</v>
      </c>
      <c r="C17" s="58">
        <v>2647.82</v>
      </c>
      <c r="D17" s="58">
        <v>3931.61</v>
      </c>
      <c r="E17" s="58">
        <v>5189.9799999999996</v>
      </c>
      <c r="F17" s="58">
        <v>6422.96</v>
      </c>
      <c r="G17" s="58">
        <v>7631.86</v>
      </c>
      <c r="H17" s="58">
        <v>8816.68</v>
      </c>
      <c r="I17" s="58">
        <v>9977.4500000000007</v>
      </c>
      <c r="J17" s="58">
        <v>11115.47</v>
      </c>
      <c r="K17" s="58">
        <v>12230.76</v>
      </c>
      <c r="L17" s="58">
        <v>13323.32</v>
      </c>
      <c r="M17" s="58">
        <v>14394.48</v>
      </c>
      <c r="N17" s="58">
        <v>14394.48</v>
      </c>
      <c r="O17" s="58">
        <v>15444.24</v>
      </c>
      <c r="P17" s="58">
        <v>16472.61</v>
      </c>
      <c r="Q17" s="58">
        <v>17480.919999999998</v>
      </c>
      <c r="R17" s="58">
        <v>18469.18</v>
      </c>
      <c r="S17" s="58">
        <v>19437.36</v>
      </c>
      <c r="T17" s="58">
        <v>20385.5</v>
      </c>
      <c r="U17" s="58">
        <v>21314.9</v>
      </c>
      <c r="V17" s="58">
        <v>22225.59</v>
      </c>
      <c r="W17" s="58">
        <v>23118.9</v>
      </c>
      <c r="X17" s="58">
        <v>23993.48</v>
      </c>
      <c r="Y17" s="58">
        <v>24850.67</v>
      </c>
      <c r="Z17" s="58">
        <v>25690.49</v>
      </c>
      <c r="AA17" s="58">
        <v>25690.49</v>
      </c>
      <c r="AB17" s="58">
        <v>26514.25</v>
      </c>
      <c r="AC17" s="58">
        <v>27320.63</v>
      </c>
      <c r="AD17" s="58">
        <v>28110.959999999999</v>
      </c>
      <c r="AE17" s="58">
        <v>28886.59</v>
      </c>
      <c r="AF17" s="58">
        <v>29646.16</v>
      </c>
      <c r="AG17" s="58">
        <v>30391.03</v>
      </c>
      <c r="AH17" s="58">
        <v>31119.84</v>
      </c>
      <c r="AI17" s="58">
        <v>31835.29</v>
      </c>
      <c r="AJ17" s="58">
        <v>32536.03</v>
      </c>
      <c r="AK17" s="58">
        <v>33222.04</v>
      </c>
      <c r="AL17" s="58">
        <v>33894.699999999997</v>
      </c>
      <c r="AM17" s="58">
        <v>34553.97</v>
      </c>
      <c r="AN17" s="58">
        <v>34553.97</v>
      </c>
      <c r="AO17" s="58">
        <v>35199.879999999997</v>
      </c>
      <c r="AP17" s="58">
        <v>35833.760000000002</v>
      </c>
      <c r="AQ17" s="58">
        <v>36454.25</v>
      </c>
      <c r="AR17" s="58">
        <v>37062.720000000001</v>
      </c>
      <c r="AS17" s="58">
        <v>37659.15</v>
      </c>
      <c r="AT17" s="58">
        <v>38243.53</v>
      </c>
      <c r="AU17" s="58">
        <v>38815.89</v>
      </c>
      <c r="AV17" s="58">
        <v>39376.21</v>
      </c>
      <c r="AW17" s="58">
        <v>39925.83</v>
      </c>
      <c r="AX17" s="58">
        <v>40464.76</v>
      </c>
      <c r="AY17" s="58">
        <v>40992.980000000003</v>
      </c>
      <c r="AZ17" s="58">
        <v>41510.51</v>
      </c>
      <c r="BA17" s="58">
        <v>41510.51</v>
      </c>
      <c r="BB17" s="58">
        <v>42017.33</v>
      </c>
      <c r="BC17" s="58">
        <v>42514.81</v>
      </c>
      <c r="BD17" s="58">
        <v>43001.57</v>
      </c>
      <c r="BE17" s="58">
        <v>43478.99</v>
      </c>
      <c r="BF17" s="58">
        <v>43947.03</v>
      </c>
      <c r="BG17" s="58">
        <v>44405.72</v>
      </c>
      <c r="BH17" s="58">
        <v>44855.05</v>
      </c>
      <c r="BI17" s="58">
        <v>45295.01</v>
      </c>
      <c r="BJ17" s="58">
        <v>45726.95</v>
      </c>
      <c r="BK17" s="58">
        <v>46149.53</v>
      </c>
      <c r="BL17" s="58">
        <v>46564.09</v>
      </c>
      <c r="BM17" s="58">
        <v>46970.62</v>
      </c>
      <c r="BN17" s="58">
        <v>46970.62</v>
      </c>
      <c r="BO17" s="58">
        <v>47369.13</v>
      </c>
      <c r="BP17" s="58">
        <v>47759.61</v>
      </c>
      <c r="BQ17" s="58">
        <v>48142.080000000002</v>
      </c>
      <c r="BR17" s="58">
        <v>48516.52</v>
      </c>
      <c r="BS17" s="58">
        <v>48882.93</v>
      </c>
      <c r="BT17" s="58">
        <v>49242.66</v>
      </c>
      <c r="BU17" s="58">
        <v>49595.7</v>
      </c>
      <c r="BV17" s="58">
        <v>49940.72</v>
      </c>
      <c r="BW17" s="58">
        <v>50279.05</v>
      </c>
      <c r="BX17" s="58">
        <v>50610.7</v>
      </c>
      <c r="BY17" s="58">
        <v>50935.65</v>
      </c>
      <c r="BZ17" s="58">
        <v>51253.93</v>
      </c>
      <c r="CA17" s="58">
        <v>51253.93</v>
      </c>
      <c r="CB17" s="58">
        <v>51565.51</v>
      </c>
      <c r="CC17" s="58">
        <v>51871.75</v>
      </c>
      <c r="CD17" s="58">
        <v>52171.31</v>
      </c>
      <c r="CE17" s="58">
        <v>52465.5</v>
      </c>
      <c r="CF17" s="58">
        <v>52753.02</v>
      </c>
      <c r="CG17" s="58">
        <v>53035.19</v>
      </c>
      <c r="CH17" s="58">
        <v>53312</v>
      </c>
      <c r="CI17" s="58">
        <v>53583.47</v>
      </c>
      <c r="CJ17" s="58">
        <v>53849.59</v>
      </c>
      <c r="CK17" s="58">
        <v>54110.36</v>
      </c>
      <c r="CL17" s="58">
        <v>54365.78</v>
      </c>
      <c r="CM17" s="58">
        <v>54615.85</v>
      </c>
      <c r="CN17" s="58">
        <v>54615.85</v>
      </c>
      <c r="CO17" s="58">
        <v>54615.85</v>
      </c>
    </row>
    <row r="18" spans="1:93" ht="14.4" x14ac:dyDescent="0.3">
      <c r="A18" s="56" t="s">
        <v>176</v>
      </c>
      <c r="B18" s="58">
        <v>0</v>
      </c>
      <c r="C18" s="58">
        <v>0</v>
      </c>
      <c r="D18" s="58">
        <v>0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58">
        <v>0</v>
      </c>
      <c r="Z18" s="58">
        <v>0</v>
      </c>
      <c r="AA18" s="58">
        <v>0</v>
      </c>
      <c r="AB18" s="58">
        <v>0</v>
      </c>
      <c r="AC18" s="58">
        <v>0</v>
      </c>
      <c r="AD18" s="58">
        <v>0</v>
      </c>
      <c r="AE18" s="58">
        <v>0</v>
      </c>
      <c r="AF18" s="58">
        <v>0</v>
      </c>
      <c r="AG18" s="58">
        <v>0</v>
      </c>
      <c r="AH18" s="58">
        <v>0</v>
      </c>
      <c r="AI18" s="58">
        <v>0</v>
      </c>
      <c r="AJ18" s="58">
        <v>0</v>
      </c>
      <c r="AK18" s="58">
        <v>0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58">
        <v>0</v>
      </c>
      <c r="AS18" s="58">
        <v>0</v>
      </c>
      <c r="AT18" s="58">
        <v>0</v>
      </c>
      <c r="AU18" s="58">
        <v>0</v>
      </c>
      <c r="AV18" s="58">
        <v>0</v>
      </c>
      <c r="AW18" s="58">
        <v>0</v>
      </c>
      <c r="AX18" s="58">
        <v>0</v>
      </c>
      <c r="AY18" s="58">
        <v>0</v>
      </c>
      <c r="AZ18" s="58">
        <v>0</v>
      </c>
      <c r="BA18" s="58">
        <v>0</v>
      </c>
      <c r="BB18" s="58">
        <v>0</v>
      </c>
      <c r="BC18" s="58">
        <v>0</v>
      </c>
      <c r="BD18" s="58">
        <v>0</v>
      </c>
      <c r="BE18" s="58">
        <v>0</v>
      </c>
      <c r="BF18" s="58">
        <v>0</v>
      </c>
      <c r="BG18" s="58">
        <v>0</v>
      </c>
      <c r="BH18" s="58">
        <v>0</v>
      </c>
      <c r="BI18" s="58">
        <v>0</v>
      </c>
      <c r="BJ18" s="58">
        <v>0</v>
      </c>
      <c r="BK18" s="58">
        <v>0</v>
      </c>
      <c r="BL18" s="58">
        <v>0</v>
      </c>
      <c r="BM18" s="58">
        <v>0</v>
      </c>
      <c r="BN18" s="58">
        <v>0</v>
      </c>
      <c r="BO18" s="58">
        <v>0</v>
      </c>
      <c r="BP18" s="58">
        <v>0</v>
      </c>
      <c r="BQ18" s="58">
        <v>0</v>
      </c>
      <c r="BR18" s="58">
        <v>0</v>
      </c>
      <c r="BS18" s="58">
        <v>0</v>
      </c>
      <c r="BT18" s="58">
        <v>0</v>
      </c>
      <c r="BU18" s="58">
        <v>0</v>
      </c>
      <c r="BV18" s="58">
        <v>0</v>
      </c>
      <c r="BW18" s="58">
        <v>0</v>
      </c>
      <c r="BX18" s="58">
        <v>0</v>
      </c>
      <c r="BY18" s="58">
        <v>0</v>
      </c>
      <c r="BZ18" s="58">
        <v>0</v>
      </c>
      <c r="CA18" s="58">
        <v>0</v>
      </c>
      <c r="CB18" s="58">
        <v>0</v>
      </c>
      <c r="CC18" s="58">
        <v>0</v>
      </c>
      <c r="CD18" s="58">
        <v>0</v>
      </c>
      <c r="CE18" s="58">
        <v>0</v>
      </c>
      <c r="CF18" s="58">
        <v>0</v>
      </c>
      <c r="CG18" s="58">
        <v>0</v>
      </c>
      <c r="CH18" s="58">
        <v>0</v>
      </c>
      <c r="CI18" s="58">
        <v>0</v>
      </c>
      <c r="CJ18" s="58">
        <v>0</v>
      </c>
      <c r="CK18" s="58">
        <v>0</v>
      </c>
      <c r="CL18" s="58">
        <v>0</v>
      </c>
      <c r="CM18" s="58">
        <v>0</v>
      </c>
      <c r="CN18" s="58">
        <v>0</v>
      </c>
      <c r="CO18" s="58">
        <v>0</v>
      </c>
    </row>
    <row r="19" spans="1:93" ht="14.4" x14ac:dyDescent="0.3">
      <c r="A19" s="56" t="s">
        <v>177</v>
      </c>
      <c r="B19" s="58">
        <v>24791.05</v>
      </c>
      <c r="C19" s="58">
        <v>49164.2</v>
      </c>
      <c r="D19" s="58">
        <v>73117.36</v>
      </c>
      <c r="E19" s="58">
        <v>96651.78</v>
      </c>
      <c r="F19" s="58">
        <v>119761.2</v>
      </c>
      <c r="G19" s="58">
        <v>142454.81</v>
      </c>
      <c r="H19" s="58">
        <v>164733.44</v>
      </c>
      <c r="I19" s="58">
        <v>186603.79</v>
      </c>
      <c r="J19" s="58">
        <v>208067.1</v>
      </c>
      <c r="K19" s="58">
        <v>229105.83</v>
      </c>
      <c r="L19" s="58">
        <v>249708.69</v>
      </c>
      <c r="M19" s="58">
        <v>269871.92</v>
      </c>
      <c r="N19" s="58">
        <v>269871.92</v>
      </c>
      <c r="O19" s="58">
        <v>289599.69</v>
      </c>
      <c r="P19" s="58">
        <v>308905.8</v>
      </c>
      <c r="Q19" s="58">
        <v>327813.24</v>
      </c>
      <c r="R19" s="58">
        <v>346294</v>
      </c>
      <c r="S19" s="58">
        <v>364383.61</v>
      </c>
      <c r="T19" s="58">
        <v>382058.66</v>
      </c>
      <c r="U19" s="58">
        <v>399294.08</v>
      </c>
      <c r="V19" s="58">
        <v>416141.27</v>
      </c>
      <c r="W19" s="58">
        <v>407581.01</v>
      </c>
      <c r="X19" s="58">
        <v>398592.82</v>
      </c>
      <c r="Y19" s="58">
        <v>389155.38</v>
      </c>
      <c r="Z19" s="58">
        <v>379340.58</v>
      </c>
      <c r="AA19" s="58">
        <v>379340.58</v>
      </c>
      <c r="AB19" s="58">
        <v>369133.37</v>
      </c>
      <c r="AC19" s="58">
        <v>358517.87</v>
      </c>
      <c r="AD19" s="58">
        <v>347477.79</v>
      </c>
      <c r="AE19" s="58">
        <v>335995.99</v>
      </c>
      <c r="AF19" s="58">
        <v>324054.92</v>
      </c>
      <c r="AG19" s="58">
        <v>311636.19</v>
      </c>
      <c r="AH19" s="58">
        <v>298844.69</v>
      </c>
      <c r="AI19" s="58">
        <v>285669.56</v>
      </c>
      <c r="AJ19" s="58">
        <v>272099.09000000003</v>
      </c>
      <c r="AK19" s="58">
        <v>258121.59</v>
      </c>
      <c r="AL19" s="58">
        <v>243724.93</v>
      </c>
      <c r="AM19" s="58">
        <v>228896.17</v>
      </c>
      <c r="AN19" s="58">
        <v>228896.17</v>
      </c>
      <c r="AO19" s="58">
        <v>213622.34</v>
      </c>
      <c r="AP19" s="58">
        <v>197890.49</v>
      </c>
      <c r="AQ19" s="58">
        <v>181686.84</v>
      </c>
      <c r="AR19" s="58">
        <v>164835.01999999999</v>
      </c>
      <c r="AS19" s="58">
        <v>147309.13</v>
      </c>
      <c r="AT19" s="58">
        <v>129082</v>
      </c>
      <c r="AU19" s="58">
        <v>110125.64</v>
      </c>
      <c r="AV19" s="58">
        <v>90411.21</v>
      </c>
      <c r="AW19" s="58">
        <v>69908.2</v>
      </c>
      <c r="AX19" s="58">
        <v>48585.27</v>
      </c>
      <c r="AY19" s="58">
        <v>26409.41</v>
      </c>
      <c r="AZ19" s="58">
        <v>3346.34</v>
      </c>
      <c r="BA19" s="58">
        <v>3346.34</v>
      </c>
      <c r="BB19" s="58">
        <v>0</v>
      </c>
      <c r="BC19" s="58">
        <v>0</v>
      </c>
      <c r="BD19" s="58">
        <v>0</v>
      </c>
      <c r="BE19" s="58">
        <v>0</v>
      </c>
      <c r="BF19" s="58">
        <v>0</v>
      </c>
      <c r="BG19" s="58">
        <v>0</v>
      </c>
      <c r="BH19" s="58">
        <v>0</v>
      </c>
      <c r="BI19" s="58">
        <v>0</v>
      </c>
      <c r="BJ19" s="58">
        <v>0</v>
      </c>
      <c r="BK19" s="58">
        <v>0</v>
      </c>
      <c r="BL19" s="58">
        <v>0</v>
      </c>
      <c r="BM19" s="58">
        <v>0</v>
      </c>
      <c r="BN19" s="58">
        <v>0</v>
      </c>
      <c r="BO19" s="58">
        <v>0</v>
      </c>
      <c r="BP19" s="58">
        <v>0</v>
      </c>
      <c r="BQ19" s="58">
        <v>0</v>
      </c>
      <c r="BR19" s="58">
        <v>0</v>
      </c>
      <c r="BS19" s="58">
        <v>0</v>
      </c>
      <c r="BT19" s="58">
        <v>0</v>
      </c>
      <c r="BU19" s="58">
        <v>0</v>
      </c>
      <c r="BV19" s="58">
        <v>0</v>
      </c>
      <c r="BW19" s="58">
        <v>0</v>
      </c>
      <c r="BX19" s="58">
        <v>0</v>
      </c>
      <c r="BY19" s="58">
        <v>0</v>
      </c>
      <c r="BZ19" s="58">
        <v>0</v>
      </c>
      <c r="CA19" s="58">
        <v>0</v>
      </c>
      <c r="CB19" s="58">
        <v>0</v>
      </c>
      <c r="CC19" s="58">
        <v>0</v>
      </c>
      <c r="CD19" s="58">
        <v>0</v>
      </c>
      <c r="CE19" s="58">
        <v>0</v>
      </c>
      <c r="CF19" s="58">
        <v>0</v>
      </c>
      <c r="CG19" s="58">
        <v>0</v>
      </c>
      <c r="CH19" s="58">
        <v>0</v>
      </c>
      <c r="CI19" s="58">
        <v>0</v>
      </c>
      <c r="CJ19" s="58">
        <v>0</v>
      </c>
      <c r="CK19" s="58">
        <v>0</v>
      </c>
      <c r="CL19" s="58">
        <v>0</v>
      </c>
      <c r="CM19" s="58">
        <v>0</v>
      </c>
      <c r="CN19" s="58">
        <v>0</v>
      </c>
      <c r="CO19" s="58">
        <v>0</v>
      </c>
    </row>
    <row r="20" spans="1:93" ht="14.4" x14ac:dyDescent="0.3">
      <c r="A20" s="56" t="s">
        <v>178</v>
      </c>
      <c r="B20" s="58">
        <v>24791.05</v>
      </c>
      <c r="C20" s="58">
        <v>49164.2</v>
      </c>
      <c r="D20" s="58">
        <v>73117.36</v>
      </c>
      <c r="E20" s="58">
        <v>96651.78</v>
      </c>
      <c r="F20" s="58">
        <v>119761.2</v>
      </c>
      <c r="G20" s="58">
        <v>142454.81</v>
      </c>
      <c r="H20" s="58">
        <v>164733.44</v>
      </c>
      <c r="I20" s="58">
        <v>186603.79</v>
      </c>
      <c r="J20" s="58">
        <v>208067.1</v>
      </c>
      <c r="K20" s="58">
        <v>229105.83</v>
      </c>
      <c r="L20" s="58">
        <v>249708.69</v>
      </c>
      <c r="M20" s="58">
        <v>269871.92</v>
      </c>
      <c r="N20" s="58">
        <v>269871.92</v>
      </c>
      <c r="O20" s="58">
        <v>289599.69</v>
      </c>
      <c r="P20" s="58">
        <v>308905.8</v>
      </c>
      <c r="Q20" s="58">
        <v>327813.24</v>
      </c>
      <c r="R20" s="58">
        <v>346294</v>
      </c>
      <c r="S20" s="58">
        <v>364383.61</v>
      </c>
      <c r="T20" s="58">
        <v>382058.66</v>
      </c>
      <c r="U20" s="58">
        <v>399294.08</v>
      </c>
      <c r="V20" s="58">
        <v>416141.27</v>
      </c>
      <c r="W20" s="58">
        <v>407581.01</v>
      </c>
      <c r="X20" s="58">
        <v>398592.82</v>
      </c>
      <c r="Y20" s="58">
        <v>389155.38</v>
      </c>
      <c r="Z20" s="58">
        <v>379340.58</v>
      </c>
      <c r="AA20" s="58">
        <v>379340.58</v>
      </c>
      <c r="AB20" s="58">
        <v>369133.37</v>
      </c>
      <c r="AC20" s="58">
        <v>358517.87</v>
      </c>
      <c r="AD20" s="58">
        <v>347477.79</v>
      </c>
      <c r="AE20" s="58">
        <v>335995.99</v>
      </c>
      <c r="AF20" s="58">
        <v>324054.92</v>
      </c>
      <c r="AG20" s="58">
        <v>311636.19</v>
      </c>
      <c r="AH20" s="58">
        <v>298844.69</v>
      </c>
      <c r="AI20" s="58">
        <v>285669.56</v>
      </c>
      <c r="AJ20" s="58">
        <v>272099.09000000003</v>
      </c>
      <c r="AK20" s="58">
        <v>258121.59</v>
      </c>
      <c r="AL20" s="58">
        <v>243724.93</v>
      </c>
      <c r="AM20" s="58">
        <v>228896.17</v>
      </c>
      <c r="AN20" s="58">
        <v>228896.17</v>
      </c>
      <c r="AO20" s="58">
        <v>213622.34</v>
      </c>
      <c r="AP20" s="58">
        <v>197890.49</v>
      </c>
      <c r="AQ20" s="58">
        <v>181686.84</v>
      </c>
      <c r="AR20" s="58">
        <v>164835.01999999999</v>
      </c>
      <c r="AS20" s="58">
        <v>147309.13</v>
      </c>
      <c r="AT20" s="58">
        <v>129082</v>
      </c>
      <c r="AU20" s="58">
        <v>110125.64</v>
      </c>
      <c r="AV20" s="58">
        <v>90411.21</v>
      </c>
      <c r="AW20" s="58">
        <v>69908.2</v>
      </c>
      <c r="AX20" s="58">
        <v>48585.27</v>
      </c>
      <c r="AY20" s="58">
        <v>26409.41</v>
      </c>
      <c r="AZ20" s="58">
        <v>3346.34</v>
      </c>
      <c r="BA20" s="58">
        <v>3346.34</v>
      </c>
      <c r="BB20" s="58">
        <v>0</v>
      </c>
      <c r="BC20" s="58">
        <v>0</v>
      </c>
      <c r="BD20" s="58">
        <v>0</v>
      </c>
      <c r="BE20" s="58">
        <v>0</v>
      </c>
      <c r="BF20" s="58">
        <v>0</v>
      </c>
      <c r="BG20" s="58">
        <v>0</v>
      </c>
      <c r="BH20" s="58">
        <v>0</v>
      </c>
      <c r="BI20" s="58">
        <v>0</v>
      </c>
      <c r="BJ20" s="58">
        <v>0</v>
      </c>
      <c r="BK20" s="58">
        <v>0</v>
      </c>
      <c r="BL20" s="58">
        <v>0</v>
      </c>
      <c r="BM20" s="58">
        <v>0</v>
      </c>
      <c r="BN20" s="58">
        <v>0</v>
      </c>
      <c r="BO20" s="58">
        <v>0</v>
      </c>
      <c r="BP20" s="58">
        <v>0</v>
      </c>
      <c r="BQ20" s="58">
        <v>0</v>
      </c>
      <c r="BR20" s="58">
        <v>0</v>
      </c>
      <c r="BS20" s="58">
        <v>0</v>
      </c>
      <c r="BT20" s="58">
        <v>0</v>
      </c>
      <c r="BU20" s="58">
        <v>0</v>
      </c>
      <c r="BV20" s="58">
        <v>0</v>
      </c>
      <c r="BW20" s="58">
        <v>0</v>
      </c>
      <c r="BX20" s="58">
        <v>0</v>
      </c>
      <c r="BY20" s="58">
        <v>0</v>
      </c>
      <c r="BZ20" s="58">
        <v>0</v>
      </c>
      <c r="CA20" s="58">
        <v>0</v>
      </c>
      <c r="CB20" s="58">
        <v>0</v>
      </c>
      <c r="CC20" s="58">
        <v>0</v>
      </c>
      <c r="CD20" s="58">
        <v>0</v>
      </c>
      <c r="CE20" s="58">
        <v>0</v>
      </c>
      <c r="CF20" s="58">
        <v>0</v>
      </c>
      <c r="CG20" s="58">
        <v>0</v>
      </c>
      <c r="CH20" s="58">
        <v>0</v>
      </c>
      <c r="CI20" s="58">
        <v>0</v>
      </c>
      <c r="CJ20" s="58">
        <v>0</v>
      </c>
      <c r="CK20" s="58">
        <v>0</v>
      </c>
      <c r="CL20" s="58">
        <v>0</v>
      </c>
      <c r="CM20" s="58">
        <v>0</v>
      </c>
      <c r="CN20" s="58">
        <v>0</v>
      </c>
      <c r="CO20" s="58">
        <v>0</v>
      </c>
    </row>
    <row r="21" spans="1:93" ht="15.75" customHeight="1" x14ac:dyDescent="0.3">
      <c r="A21" s="56" t="s">
        <v>179</v>
      </c>
      <c r="B21" s="58">
        <v>-26932</v>
      </c>
      <c r="C21" s="58">
        <v>-48133.96</v>
      </c>
      <c r="D21" s="58">
        <v>-63720.84</v>
      </c>
      <c r="E21" s="58">
        <v>-73804.75</v>
      </c>
      <c r="F21" s="58">
        <v>-79518.81</v>
      </c>
      <c r="G21" s="58">
        <v>-81079.27</v>
      </c>
      <c r="H21" s="58">
        <v>-79569.41</v>
      </c>
      <c r="I21" s="58">
        <v>-74071.48</v>
      </c>
      <c r="J21" s="58">
        <v>-64663.9</v>
      </c>
      <c r="K21" s="58">
        <v>-51425.09</v>
      </c>
      <c r="L21" s="58">
        <v>-34432.47</v>
      </c>
      <c r="M21" s="58">
        <v>-13759.6</v>
      </c>
      <c r="N21" s="58">
        <v>-13759.6</v>
      </c>
      <c r="O21" s="58">
        <v>-2053.1999999999998</v>
      </c>
      <c r="P21" s="58">
        <v>4568.49</v>
      </c>
      <c r="Q21" s="58">
        <v>12953.17</v>
      </c>
      <c r="R21" s="58">
        <v>23065.48</v>
      </c>
      <c r="S21" s="58">
        <v>34870.6</v>
      </c>
      <c r="T21" s="58">
        <v>48333.16</v>
      </c>
      <c r="U21" s="58">
        <v>63420.75</v>
      </c>
      <c r="V21" s="58">
        <v>80100.47</v>
      </c>
      <c r="W21" s="58">
        <v>98341.79</v>
      </c>
      <c r="X21" s="58">
        <v>118112.28</v>
      </c>
      <c r="Y21" s="58">
        <v>139381.47</v>
      </c>
      <c r="Z21" s="58">
        <v>162118.85</v>
      </c>
      <c r="AA21" s="58">
        <v>162118.85</v>
      </c>
      <c r="AB21" s="58">
        <v>181644.67</v>
      </c>
      <c r="AC21" s="58">
        <v>202605.11</v>
      </c>
      <c r="AD21" s="58">
        <v>222035.23</v>
      </c>
      <c r="AE21" s="58">
        <v>242845.74</v>
      </c>
      <c r="AF21" s="58">
        <v>265008.03999999998</v>
      </c>
      <c r="AG21" s="58">
        <v>288495.95</v>
      </c>
      <c r="AH21" s="58">
        <v>313280.94</v>
      </c>
      <c r="AI21" s="58">
        <v>339338.75</v>
      </c>
      <c r="AJ21" s="58">
        <v>366643.74</v>
      </c>
      <c r="AK21" s="58">
        <v>395169.75</v>
      </c>
      <c r="AL21" s="58">
        <v>424892.56</v>
      </c>
      <c r="AM21" s="58">
        <v>455788.43</v>
      </c>
      <c r="AN21" s="58">
        <v>455788.43</v>
      </c>
      <c r="AO21" s="58">
        <v>485424.2</v>
      </c>
      <c r="AP21" s="58">
        <v>516110.93</v>
      </c>
      <c r="AQ21" s="58">
        <v>546047.19999999995</v>
      </c>
      <c r="AR21" s="58">
        <v>577084.94999999995</v>
      </c>
      <c r="AS21" s="58">
        <v>609202.85</v>
      </c>
      <c r="AT21" s="58">
        <v>642379.13</v>
      </c>
      <c r="AU21" s="58">
        <v>676591.96</v>
      </c>
      <c r="AV21" s="58">
        <v>711819.05</v>
      </c>
      <c r="AW21" s="58">
        <v>748041.49</v>
      </c>
      <c r="AX21" s="58">
        <v>785239.93</v>
      </c>
      <c r="AY21" s="58">
        <v>821581.69</v>
      </c>
      <c r="AZ21" s="58">
        <v>858860.64</v>
      </c>
      <c r="BA21" s="58">
        <v>858860.64</v>
      </c>
      <c r="BB21" s="58">
        <v>894763.84</v>
      </c>
      <c r="BC21" s="58">
        <v>924943.15</v>
      </c>
      <c r="BD21" s="58">
        <v>955942.89</v>
      </c>
      <c r="BE21" s="58">
        <v>987747.59</v>
      </c>
      <c r="BF21" s="58">
        <v>1020341.23</v>
      </c>
      <c r="BG21" s="58">
        <v>1053708.33</v>
      </c>
      <c r="BH21" s="58">
        <v>1087832.8799999999</v>
      </c>
      <c r="BI21" s="58">
        <v>1122698.8799999999</v>
      </c>
      <c r="BJ21" s="58">
        <v>1158293.05</v>
      </c>
      <c r="BK21" s="58">
        <v>1194599.9099999999</v>
      </c>
      <c r="BL21" s="58">
        <v>1229731.3999999999</v>
      </c>
      <c r="BM21" s="58">
        <v>1272781.49</v>
      </c>
      <c r="BN21" s="58">
        <v>1272781.49</v>
      </c>
      <c r="BO21" s="58">
        <v>1314079.8899999999</v>
      </c>
      <c r="BP21" s="58">
        <v>1356103.3</v>
      </c>
      <c r="BQ21" s="58">
        <v>1398837.2</v>
      </c>
      <c r="BR21" s="58">
        <v>1442267.03</v>
      </c>
      <c r="BS21" s="58">
        <v>1486377.27</v>
      </c>
      <c r="BT21" s="58">
        <v>1531155.8</v>
      </c>
      <c r="BU21" s="58">
        <v>1576590</v>
      </c>
      <c r="BV21" s="58">
        <v>1622665.33</v>
      </c>
      <c r="BW21" s="58">
        <v>1669369.2</v>
      </c>
      <c r="BX21" s="58">
        <v>1716688.98</v>
      </c>
      <c r="BY21" s="58">
        <v>1764612.55</v>
      </c>
      <c r="BZ21" s="58">
        <v>1813127.29</v>
      </c>
      <c r="CA21" s="58">
        <v>1813127.29</v>
      </c>
      <c r="CB21" s="58">
        <v>1858588.04</v>
      </c>
      <c r="CC21" s="58">
        <v>1904622.66</v>
      </c>
      <c r="CD21" s="58">
        <v>1951218.03</v>
      </c>
      <c r="CE21" s="58">
        <v>1998364.96</v>
      </c>
      <c r="CF21" s="58">
        <v>2046050.34</v>
      </c>
      <c r="CG21" s="58">
        <v>2094264.47</v>
      </c>
      <c r="CH21" s="58">
        <v>2142996.64</v>
      </c>
      <c r="CI21" s="58">
        <v>2192237.69</v>
      </c>
      <c r="CJ21" s="58">
        <v>2240164.13</v>
      </c>
      <c r="CK21" s="58">
        <v>2287455.52</v>
      </c>
      <c r="CL21" s="58">
        <v>2335225.19</v>
      </c>
      <c r="CM21" s="58">
        <v>2383463.48</v>
      </c>
      <c r="CN21" s="58">
        <v>2383463.48</v>
      </c>
      <c r="CO21" s="58">
        <v>2383463.48</v>
      </c>
    </row>
    <row r="22" spans="1:93" ht="15.75" customHeight="1" x14ac:dyDescent="0.3">
      <c r="A22" s="56" t="s">
        <v>180</v>
      </c>
      <c r="B22" s="58">
        <v>0</v>
      </c>
      <c r="C22" s="58">
        <v>0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0</v>
      </c>
      <c r="Z22" s="58">
        <v>0</v>
      </c>
      <c r="AA22" s="58">
        <v>0</v>
      </c>
      <c r="AB22" s="58">
        <v>0</v>
      </c>
      <c r="AC22" s="58">
        <v>0</v>
      </c>
      <c r="AD22" s="58">
        <v>0</v>
      </c>
      <c r="AE22" s="58">
        <v>0</v>
      </c>
      <c r="AF22" s="58">
        <v>0</v>
      </c>
      <c r="AG22" s="58">
        <v>0</v>
      </c>
      <c r="AH22" s="58">
        <v>0</v>
      </c>
      <c r="AI22" s="58">
        <v>0</v>
      </c>
      <c r="AJ22" s="58">
        <v>0</v>
      </c>
      <c r="AK22" s="58">
        <v>0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58">
        <v>0</v>
      </c>
      <c r="AS22" s="58">
        <v>0</v>
      </c>
      <c r="AT22" s="58">
        <v>0</v>
      </c>
      <c r="AU22" s="58">
        <v>0</v>
      </c>
      <c r="AV22" s="58">
        <v>0</v>
      </c>
      <c r="AW22" s="58">
        <v>0</v>
      </c>
      <c r="AX22" s="58">
        <v>0</v>
      </c>
      <c r="AY22" s="58">
        <v>0</v>
      </c>
      <c r="AZ22" s="58">
        <v>0</v>
      </c>
      <c r="BA22" s="58">
        <v>0</v>
      </c>
      <c r="BB22" s="58">
        <v>0</v>
      </c>
      <c r="BC22" s="58">
        <v>0</v>
      </c>
      <c r="BD22" s="58">
        <v>0</v>
      </c>
      <c r="BE22" s="58">
        <v>0</v>
      </c>
      <c r="BF22" s="58">
        <v>0</v>
      </c>
      <c r="BG22" s="58">
        <v>0</v>
      </c>
      <c r="BH22" s="58">
        <v>0</v>
      </c>
      <c r="BI22" s="58">
        <v>0</v>
      </c>
      <c r="BJ22" s="58">
        <v>0</v>
      </c>
      <c r="BK22" s="58">
        <v>0</v>
      </c>
      <c r="BL22" s="58">
        <v>0</v>
      </c>
      <c r="BM22" s="58">
        <v>0</v>
      </c>
      <c r="BN22" s="58">
        <v>0</v>
      </c>
      <c r="BO22" s="58">
        <v>0</v>
      </c>
      <c r="BP22" s="58">
        <v>0</v>
      </c>
      <c r="BQ22" s="58">
        <v>0</v>
      </c>
      <c r="BR22" s="58">
        <v>0</v>
      </c>
      <c r="BS22" s="58">
        <v>0</v>
      </c>
      <c r="BT22" s="58">
        <v>0</v>
      </c>
      <c r="BU22" s="58">
        <v>0</v>
      </c>
      <c r="BV22" s="58">
        <v>0</v>
      </c>
      <c r="BW22" s="58">
        <v>0</v>
      </c>
      <c r="BX22" s="58">
        <v>0</v>
      </c>
      <c r="BY22" s="58">
        <v>0</v>
      </c>
      <c r="BZ22" s="58">
        <v>0</v>
      </c>
      <c r="CA22" s="58">
        <v>0</v>
      </c>
      <c r="CB22" s="58">
        <v>0</v>
      </c>
      <c r="CC22" s="58">
        <v>0</v>
      </c>
      <c r="CD22" s="58">
        <v>0</v>
      </c>
      <c r="CE22" s="58">
        <v>0</v>
      </c>
      <c r="CF22" s="58">
        <v>0</v>
      </c>
      <c r="CG22" s="58">
        <v>0</v>
      </c>
      <c r="CH22" s="58">
        <v>0</v>
      </c>
      <c r="CI22" s="58">
        <v>0</v>
      </c>
      <c r="CJ22" s="58">
        <v>0</v>
      </c>
      <c r="CK22" s="58">
        <v>0</v>
      </c>
      <c r="CL22" s="58">
        <v>0</v>
      </c>
      <c r="CM22" s="58">
        <v>0</v>
      </c>
      <c r="CN22" s="58">
        <v>0</v>
      </c>
      <c r="CO22" s="58">
        <v>0</v>
      </c>
    </row>
    <row r="23" spans="1:93" ht="15.75" customHeight="1" x14ac:dyDescent="0.3">
      <c r="A23" s="56" t="s">
        <v>181</v>
      </c>
      <c r="B23" s="58">
        <v>0</v>
      </c>
      <c r="C23" s="58">
        <v>0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58">
        <v>0</v>
      </c>
      <c r="Z23" s="58">
        <v>0</v>
      </c>
      <c r="AA23" s="58">
        <v>0</v>
      </c>
      <c r="AB23" s="58">
        <v>0</v>
      </c>
      <c r="AC23" s="58">
        <v>0</v>
      </c>
      <c r="AD23" s="58">
        <v>0</v>
      </c>
      <c r="AE23" s="58">
        <v>0</v>
      </c>
      <c r="AF23" s="58">
        <v>0</v>
      </c>
      <c r="AG23" s="58">
        <v>0</v>
      </c>
      <c r="AH23" s="58">
        <v>0</v>
      </c>
      <c r="AI23" s="58">
        <v>0</v>
      </c>
      <c r="AJ23" s="58">
        <v>0</v>
      </c>
      <c r="AK23" s="58">
        <v>0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58">
        <v>0</v>
      </c>
      <c r="AS23" s="58">
        <v>0</v>
      </c>
      <c r="AT23" s="58">
        <v>0</v>
      </c>
      <c r="AU23" s="58">
        <v>0</v>
      </c>
      <c r="AV23" s="58">
        <v>0</v>
      </c>
      <c r="AW23" s="58">
        <v>0</v>
      </c>
      <c r="AX23" s="58">
        <v>0</v>
      </c>
      <c r="AY23" s="58">
        <v>0</v>
      </c>
      <c r="AZ23" s="58">
        <v>0</v>
      </c>
      <c r="BA23" s="58">
        <v>0</v>
      </c>
      <c r="BB23" s="58">
        <v>0</v>
      </c>
      <c r="BC23" s="58">
        <v>0</v>
      </c>
      <c r="BD23" s="58">
        <v>0</v>
      </c>
      <c r="BE23" s="58">
        <v>0</v>
      </c>
      <c r="BF23" s="58">
        <v>0</v>
      </c>
      <c r="BG23" s="58">
        <v>0</v>
      </c>
      <c r="BH23" s="58">
        <v>0</v>
      </c>
      <c r="BI23" s="58">
        <v>0</v>
      </c>
      <c r="BJ23" s="58">
        <v>0</v>
      </c>
      <c r="BK23" s="58">
        <v>0</v>
      </c>
      <c r="BL23" s="58">
        <v>0</v>
      </c>
      <c r="BM23" s="58">
        <v>0</v>
      </c>
      <c r="BN23" s="58">
        <v>0</v>
      </c>
      <c r="BO23" s="58">
        <v>0</v>
      </c>
      <c r="BP23" s="58">
        <v>0</v>
      </c>
      <c r="BQ23" s="58">
        <v>0</v>
      </c>
      <c r="BR23" s="58">
        <v>0</v>
      </c>
      <c r="BS23" s="58">
        <v>0</v>
      </c>
      <c r="BT23" s="58">
        <v>0</v>
      </c>
      <c r="BU23" s="58">
        <v>0</v>
      </c>
      <c r="BV23" s="58">
        <v>0</v>
      </c>
      <c r="BW23" s="58">
        <v>0</v>
      </c>
      <c r="BX23" s="58">
        <v>0</v>
      </c>
      <c r="BY23" s="58">
        <v>0</v>
      </c>
      <c r="BZ23" s="58">
        <v>0</v>
      </c>
      <c r="CA23" s="58">
        <v>0</v>
      </c>
      <c r="CB23" s="58">
        <v>0</v>
      </c>
      <c r="CC23" s="58">
        <v>0</v>
      </c>
      <c r="CD23" s="58">
        <v>0</v>
      </c>
      <c r="CE23" s="58">
        <v>0</v>
      </c>
      <c r="CF23" s="58">
        <v>0</v>
      </c>
      <c r="CG23" s="58">
        <v>0</v>
      </c>
      <c r="CH23" s="58">
        <v>0</v>
      </c>
      <c r="CI23" s="58">
        <v>0</v>
      </c>
      <c r="CJ23" s="58">
        <v>0</v>
      </c>
      <c r="CK23" s="58">
        <v>0</v>
      </c>
      <c r="CL23" s="58">
        <v>0</v>
      </c>
      <c r="CM23" s="58">
        <v>0</v>
      </c>
      <c r="CN23" s="58">
        <v>0</v>
      </c>
      <c r="CO23" s="58">
        <v>0</v>
      </c>
    </row>
    <row r="24" spans="1:93" ht="15.75" customHeight="1" x14ac:dyDescent="0.3">
      <c r="A24" s="56" t="s">
        <v>182</v>
      </c>
      <c r="B24" s="58">
        <v>0</v>
      </c>
      <c r="C24" s="58">
        <v>0</v>
      </c>
      <c r="D24" s="58">
        <v>0</v>
      </c>
      <c r="E24" s="58">
        <v>0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58">
        <v>0</v>
      </c>
      <c r="Z24" s="58">
        <v>0</v>
      </c>
      <c r="AA24" s="58">
        <v>0</v>
      </c>
      <c r="AB24" s="58">
        <v>0</v>
      </c>
      <c r="AC24" s="58">
        <v>0</v>
      </c>
      <c r="AD24" s="58">
        <v>0</v>
      </c>
      <c r="AE24" s="58">
        <v>0</v>
      </c>
      <c r="AF24" s="58">
        <v>0</v>
      </c>
      <c r="AG24" s="58">
        <v>0</v>
      </c>
      <c r="AH24" s="58">
        <v>0</v>
      </c>
      <c r="AI24" s="58">
        <v>0</v>
      </c>
      <c r="AJ24" s="58">
        <v>0</v>
      </c>
      <c r="AK24" s="58">
        <v>0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58">
        <v>0</v>
      </c>
      <c r="AS24" s="58">
        <v>0</v>
      </c>
      <c r="AT24" s="58">
        <v>0</v>
      </c>
      <c r="AU24" s="58">
        <v>0</v>
      </c>
      <c r="AV24" s="58">
        <v>0</v>
      </c>
      <c r="AW24" s="58">
        <v>0</v>
      </c>
      <c r="AX24" s="58">
        <v>0</v>
      </c>
      <c r="AY24" s="58">
        <v>0</v>
      </c>
      <c r="AZ24" s="58">
        <v>0</v>
      </c>
      <c r="BA24" s="58">
        <v>0</v>
      </c>
      <c r="BB24" s="58">
        <v>0</v>
      </c>
      <c r="BC24" s="58">
        <v>0</v>
      </c>
      <c r="BD24" s="58">
        <v>0</v>
      </c>
      <c r="BE24" s="58">
        <v>0</v>
      </c>
      <c r="BF24" s="58">
        <v>0</v>
      </c>
      <c r="BG24" s="58">
        <v>0</v>
      </c>
      <c r="BH24" s="58">
        <v>0</v>
      </c>
      <c r="BI24" s="58">
        <v>0</v>
      </c>
      <c r="BJ24" s="58">
        <v>0</v>
      </c>
      <c r="BK24" s="58">
        <v>0</v>
      </c>
      <c r="BL24" s="58">
        <v>0</v>
      </c>
      <c r="BM24" s="58">
        <v>0</v>
      </c>
      <c r="BN24" s="58">
        <v>0</v>
      </c>
      <c r="BO24" s="58">
        <v>0</v>
      </c>
      <c r="BP24" s="58">
        <v>0</v>
      </c>
      <c r="BQ24" s="58">
        <v>0</v>
      </c>
      <c r="BR24" s="58">
        <v>0</v>
      </c>
      <c r="BS24" s="58">
        <v>0</v>
      </c>
      <c r="BT24" s="58">
        <v>0</v>
      </c>
      <c r="BU24" s="58">
        <v>0</v>
      </c>
      <c r="BV24" s="58">
        <v>0</v>
      </c>
      <c r="BW24" s="58">
        <v>0</v>
      </c>
      <c r="BX24" s="58">
        <v>0</v>
      </c>
      <c r="BY24" s="58">
        <v>0</v>
      </c>
      <c r="BZ24" s="58">
        <v>0</v>
      </c>
      <c r="CA24" s="58">
        <v>0</v>
      </c>
      <c r="CB24" s="58">
        <v>0</v>
      </c>
      <c r="CC24" s="58">
        <v>0</v>
      </c>
      <c r="CD24" s="58">
        <v>0</v>
      </c>
      <c r="CE24" s="58">
        <v>0</v>
      </c>
      <c r="CF24" s="58">
        <v>0</v>
      </c>
      <c r="CG24" s="58">
        <v>0</v>
      </c>
      <c r="CH24" s="58">
        <v>0</v>
      </c>
      <c r="CI24" s="58">
        <v>0</v>
      </c>
      <c r="CJ24" s="58">
        <v>0</v>
      </c>
      <c r="CK24" s="58">
        <v>0</v>
      </c>
      <c r="CL24" s="58">
        <v>0</v>
      </c>
      <c r="CM24" s="58">
        <v>0</v>
      </c>
      <c r="CN24" s="58">
        <v>0</v>
      </c>
      <c r="CO24" s="58">
        <v>0</v>
      </c>
    </row>
    <row r="25" spans="1:93" ht="15.75" customHeight="1" x14ac:dyDescent="0.3">
      <c r="A25" s="56" t="s">
        <v>183</v>
      </c>
      <c r="B25" s="58">
        <v>0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0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58">
        <v>0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58">
        <v>0</v>
      </c>
      <c r="AS25" s="58">
        <v>0</v>
      </c>
      <c r="AT25" s="58">
        <v>0</v>
      </c>
      <c r="AU25" s="58">
        <v>0</v>
      </c>
      <c r="AV25" s="58">
        <v>0</v>
      </c>
      <c r="AW25" s="58">
        <v>0</v>
      </c>
      <c r="AX25" s="58">
        <v>0</v>
      </c>
      <c r="AY25" s="58">
        <v>0</v>
      </c>
      <c r="AZ25" s="58">
        <v>0</v>
      </c>
      <c r="BA25" s="58">
        <v>0</v>
      </c>
      <c r="BB25" s="58">
        <v>0</v>
      </c>
      <c r="BC25" s="58">
        <v>0</v>
      </c>
      <c r="BD25" s="58">
        <v>0</v>
      </c>
      <c r="BE25" s="58">
        <v>0</v>
      </c>
      <c r="BF25" s="58">
        <v>0</v>
      </c>
      <c r="BG25" s="58">
        <v>0</v>
      </c>
      <c r="BH25" s="58">
        <v>0</v>
      </c>
      <c r="BI25" s="58">
        <v>0</v>
      </c>
      <c r="BJ25" s="58">
        <v>0</v>
      </c>
      <c r="BK25" s="58">
        <v>0</v>
      </c>
      <c r="BL25" s="58">
        <v>0</v>
      </c>
      <c r="BM25" s="58">
        <v>0</v>
      </c>
      <c r="BN25" s="58">
        <v>0</v>
      </c>
      <c r="BO25" s="58">
        <v>0</v>
      </c>
      <c r="BP25" s="58">
        <v>0</v>
      </c>
      <c r="BQ25" s="58">
        <v>0</v>
      </c>
      <c r="BR25" s="58">
        <v>0</v>
      </c>
      <c r="BS25" s="58">
        <v>0</v>
      </c>
      <c r="BT25" s="58">
        <v>0</v>
      </c>
      <c r="BU25" s="58">
        <v>0</v>
      </c>
      <c r="BV25" s="58">
        <v>0</v>
      </c>
      <c r="BW25" s="58">
        <v>0</v>
      </c>
      <c r="BX25" s="58">
        <v>0</v>
      </c>
      <c r="BY25" s="58">
        <v>0</v>
      </c>
      <c r="BZ25" s="58">
        <v>0</v>
      </c>
      <c r="CA25" s="58">
        <v>0</v>
      </c>
      <c r="CB25" s="58">
        <v>0</v>
      </c>
      <c r="CC25" s="58">
        <v>0</v>
      </c>
      <c r="CD25" s="58">
        <v>0</v>
      </c>
      <c r="CE25" s="58">
        <v>0</v>
      </c>
      <c r="CF25" s="58">
        <v>0</v>
      </c>
      <c r="CG25" s="58">
        <v>0</v>
      </c>
      <c r="CH25" s="58">
        <v>0</v>
      </c>
      <c r="CI25" s="58">
        <v>0</v>
      </c>
      <c r="CJ25" s="58">
        <v>0</v>
      </c>
      <c r="CK25" s="58">
        <v>0</v>
      </c>
      <c r="CL25" s="58">
        <v>0</v>
      </c>
      <c r="CM25" s="58">
        <v>0</v>
      </c>
      <c r="CN25" s="58">
        <v>0</v>
      </c>
      <c r="CO25" s="58">
        <v>0</v>
      </c>
    </row>
    <row r="26" spans="1:93" ht="15.75" customHeight="1" x14ac:dyDescent="0.3">
      <c r="A26" s="56" t="s">
        <v>184</v>
      </c>
      <c r="B26" s="58">
        <v>-26932</v>
      </c>
      <c r="C26" s="58">
        <v>-48133.96</v>
      </c>
      <c r="D26" s="58">
        <v>-63720.84</v>
      </c>
      <c r="E26" s="58">
        <v>-73804.75</v>
      </c>
      <c r="F26" s="58">
        <v>-79518.81</v>
      </c>
      <c r="G26" s="58">
        <v>-81079.27</v>
      </c>
      <c r="H26" s="58">
        <v>-79569.41</v>
      </c>
      <c r="I26" s="58">
        <v>-74071.48</v>
      </c>
      <c r="J26" s="58">
        <v>-64663.9</v>
      </c>
      <c r="K26" s="58">
        <v>-51425.09</v>
      </c>
      <c r="L26" s="58">
        <v>-34432.47</v>
      </c>
      <c r="M26" s="58">
        <v>-13759.6</v>
      </c>
      <c r="N26" s="58">
        <v>-13759.6</v>
      </c>
      <c r="O26" s="58">
        <v>-2053.1999999999998</v>
      </c>
      <c r="P26" s="58">
        <v>4568.49</v>
      </c>
      <c r="Q26" s="58">
        <v>12953.17</v>
      </c>
      <c r="R26" s="58">
        <v>23065.48</v>
      </c>
      <c r="S26" s="58">
        <v>34870.6</v>
      </c>
      <c r="T26" s="58">
        <v>48333.16</v>
      </c>
      <c r="U26" s="58">
        <v>63420.75</v>
      </c>
      <c r="V26" s="58">
        <v>80100.47</v>
      </c>
      <c r="W26" s="58">
        <v>98341.79</v>
      </c>
      <c r="X26" s="58">
        <v>118112.28</v>
      </c>
      <c r="Y26" s="58">
        <v>139381.47</v>
      </c>
      <c r="Z26" s="58">
        <v>162118.85</v>
      </c>
      <c r="AA26" s="58">
        <v>162118.85</v>
      </c>
      <c r="AB26" s="58">
        <v>181644.67</v>
      </c>
      <c r="AC26" s="58">
        <v>202605.11</v>
      </c>
      <c r="AD26" s="58">
        <v>222035.23</v>
      </c>
      <c r="AE26" s="58">
        <v>242845.74</v>
      </c>
      <c r="AF26" s="58">
        <v>265008.03999999998</v>
      </c>
      <c r="AG26" s="58">
        <v>288495.95</v>
      </c>
      <c r="AH26" s="58">
        <v>313280.94</v>
      </c>
      <c r="AI26" s="58">
        <v>339338.75</v>
      </c>
      <c r="AJ26" s="58">
        <v>366643.74</v>
      </c>
      <c r="AK26" s="58">
        <v>395169.75</v>
      </c>
      <c r="AL26" s="58">
        <v>424892.56</v>
      </c>
      <c r="AM26" s="58">
        <v>455788.43</v>
      </c>
      <c r="AN26" s="58">
        <v>455788.43</v>
      </c>
      <c r="AO26" s="58">
        <v>485424.2</v>
      </c>
      <c r="AP26" s="58">
        <v>516110.93</v>
      </c>
      <c r="AQ26" s="58">
        <v>546047.19999999995</v>
      </c>
      <c r="AR26" s="58">
        <v>577084.94999999995</v>
      </c>
      <c r="AS26" s="58">
        <v>609202.85</v>
      </c>
      <c r="AT26" s="58">
        <v>642379.13</v>
      </c>
      <c r="AU26" s="58">
        <v>676591.96</v>
      </c>
      <c r="AV26" s="58">
        <v>711819.05</v>
      </c>
      <c r="AW26" s="58">
        <v>748041.49</v>
      </c>
      <c r="AX26" s="58">
        <v>785239.93</v>
      </c>
      <c r="AY26" s="58">
        <v>821581.69</v>
      </c>
      <c r="AZ26" s="58">
        <v>858860.64</v>
      </c>
      <c r="BA26" s="58">
        <v>858860.64</v>
      </c>
      <c r="BB26" s="58">
        <v>894763.84</v>
      </c>
      <c r="BC26" s="58">
        <v>924943.15</v>
      </c>
      <c r="BD26" s="58">
        <v>955942.89</v>
      </c>
      <c r="BE26" s="58">
        <v>987747.59</v>
      </c>
      <c r="BF26" s="58">
        <v>1020341.23</v>
      </c>
      <c r="BG26" s="58">
        <v>1053708.33</v>
      </c>
      <c r="BH26" s="58">
        <v>1087832.8799999999</v>
      </c>
      <c r="BI26" s="58">
        <v>1122698.8799999999</v>
      </c>
      <c r="BJ26" s="58">
        <v>1158293.05</v>
      </c>
      <c r="BK26" s="58">
        <v>1194599.9099999999</v>
      </c>
      <c r="BL26" s="58">
        <v>1229731.3999999999</v>
      </c>
      <c r="BM26" s="58">
        <v>1272781.49</v>
      </c>
      <c r="BN26" s="58">
        <v>1272781.49</v>
      </c>
      <c r="BO26" s="58">
        <v>1314079.8899999999</v>
      </c>
      <c r="BP26" s="58">
        <v>1356103.3</v>
      </c>
      <c r="BQ26" s="58">
        <v>1398837.2</v>
      </c>
      <c r="BR26" s="58">
        <v>1442267.03</v>
      </c>
      <c r="BS26" s="58">
        <v>1486377.27</v>
      </c>
      <c r="BT26" s="58">
        <v>1531155.8</v>
      </c>
      <c r="BU26" s="58">
        <v>1576590</v>
      </c>
      <c r="BV26" s="58">
        <v>1622665.33</v>
      </c>
      <c r="BW26" s="58">
        <v>1669369.2</v>
      </c>
      <c r="BX26" s="58">
        <v>1716688.98</v>
      </c>
      <c r="BY26" s="58">
        <v>1764612.55</v>
      </c>
      <c r="BZ26" s="58">
        <v>1813127.29</v>
      </c>
      <c r="CA26" s="58">
        <v>1813127.29</v>
      </c>
      <c r="CB26" s="58">
        <v>1858588.04</v>
      </c>
      <c r="CC26" s="58">
        <v>1904622.66</v>
      </c>
      <c r="CD26" s="58">
        <v>1951218.03</v>
      </c>
      <c r="CE26" s="58">
        <v>1998364.96</v>
      </c>
      <c r="CF26" s="58">
        <v>2046050.34</v>
      </c>
      <c r="CG26" s="58">
        <v>2094264.47</v>
      </c>
      <c r="CH26" s="58">
        <v>2142996.64</v>
      </c>
      <c r="CI26" s="58">
        <v>2192237.69</v>
      </c>
      <c r="CJ26" s="58">
        <v>2240164.13</v>
      </c>
      <c r="CK26" s="58">
        <v>2287455.52</v>
      </c>
      <c r="CL26" s="58">
        <v>2335225.19</v>
      </c>
      <c r="CM26" s="58">
        <v>2383463.48</v>
      </c>
      <c r="CN26" s="58">
        <v>2383463.48</v>
      </c>
      <c r="CO26" s="58">
        <v>2383463.48</v>
      </c>
    </row>
    <row r="27" spans="1:93" ht="15.75" customHeight="1" x14ac:dyDescent="0.3">
      <c r="A27" s="56" t="s">
        <v>169</v>
      </c>
    </row>
    <row r="28" spans="1:93" ht="15.75" customHeight="1" x14ac:dyDescent="0.3">
      <c r="A28" s="56" t="s">
        <v>185</v>
      </c>
      <c r="B28" s="58">
        <v>0</v>
      </c>
      <c r="C28" s="58">
        <v>0</v>
      </c>
      <c r="D28" s="58">
        <v>0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58">
        <v>0</v>
      </c>
      <c r="Z28" s="58">
        <v>0</v>
      </c>
      <c r="AA28" s="58">
        <v>0</v>
      </c>
      <c r="AB28" s="58">
        <v>0</v>
      </c>
      <c r="AC28" s="58">
        <v>0</v>
      </c>
      <c r="AD28" s="58">
        <v>0</v>
      </c>
      <c r="AE28" s="58">
        <v>0</v>
      </c>
      <c r="AF28" s="58">
        <v>0</v>
      </c>
      <c r="AG28" s="58">
        <v>0</v>
      </c>
      <c r="AH28" s="58">
        <v>0</v>
      </c>
      <c r="AI28" s="58">
        <v>0</v>
      </c>
      <c r="AJ28" s="58">
        <v>0</v>
      </c>
      <c r="AK28" s="58">
        <v>0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58">
        <v>0</v>
      </c>
      <c r="AS28" s="58">
        <v>0</v>
      </c>
      <c r="AT28" s="58">
        <v>0</v>
      </c>
      <c r="AU28" s="58">
        <v>0</v>
      </c>
      <c r="AV28" s="58">
        <v>0</v>
      </c>
      <c r="AW28" s="58">
        <v>0</v>
      </c>
      <c r="AX28" s="58">
        <v>0</v>
      </c>
      <c r="AY28" s="58">
        <v>0</v>
      </c>
      <c r="AZ28" s="58">
        <v>0</v>
      </c>
      <c r="BA28" s="58">
        <v>0</v>
      </c>
      <c r="BB28" s="58">
        <v>0</v>
      </c>
      <c r="BC28" s="58">
        <v>0</v>
      </c>
      <c r="BD28" s="58">
        <v>0</v>
      </c>
      <c r="BE28" s="58">
        <v>0</v>
      </c>
      <c r="BF28" s="58">
        <v>0</v>
      </c>
      <c r="BG28" s="58">
        <v>0</v>
      </c>
      <c r="BH28" s="58">
        <v>0</v>
      </c>
      <c r="BI28" s="58">
        <v>0</v>
      </c>
      <c r="BJ28" s="58">
        <v>0</v>
      </c>
      <c r="BK28" s="58">
        <v>0</v>
      </c>
      <c r="BL28" s="58">
        <v>0</v>
      </c>
      <c r="BM28" s="58">
        <v>0</v>
      </c>
      <c r="BN28" s="58">
        <v>0</v>
      </c>
      <c r="BO28" s="58">
        <v>0</v>
      </c>
      <c r="BP28" s="58">
        <v>0</v>
      </c>
      <c r="BQ28" s="58">
        <v>0</v>
      </c>
      <c r="BR28" s="58">
        <v>0</v>
      </c>
      <c r="BS28" s="58">
        <v>0</v>
      </c>
      <c r="BT28" s="58">
        <v>0</v>
      </c>
      <c r="BU28" s="58">
        <v>0</v>
      </c>
      <c r="BV28" s="58">
        <v>0</v>
      </c>
      <c r="BW28" s="58">
        <v>0</v>
      </c>
      <c r="BX28" s="58">
        <v>0</v>
      </c>
      <c r="BY28" s="58">
        <v>0</v>
      </c>
      <c r="BZ28" s="58">
        <v>0</v>
      </c>
      <c r="CA28" s="58">
        <v>0</v>
      </c>
      <c r="CB28" s="58">
        <v>0</v>
      </c>
      <c r="CC28" s="58">
        <v>0</v>
      </c>
      <c r="CD28" s="58">
        <v>0</v>
      </c>
      <c r="CE28" s="58">
        <v>0</v>
      </c>
      <c r="CF28" s="58">
        <v>0</v>
      </c>
      <c r="CG28" s="58">
        <v>0</v>
      </c>
      <c r="CH28" s="58">
        <v>0</v>
      </c>
      <c r="CI28" s="58">
        <v>0</v>
      </c>
      <c r="CJ28" s="58">
        <v>0</v>
      </c>
      <c r="CK28" s="58">
        <v>0</v>
      </c>
      <c r="CL28" s="58">
        <v>0</v>
      </c>
      <c r="CM28" s="58">
        <v>0</v>
      </c>
      <c r="CN28" s="58">
        <v>0</v>
      </c>
      <c r="CO28" s="58">
        <v>0</v>
      </c>
    </row>
    <row r="29" spans="1:93" ht="15.75" customHeight="1" x14ac:dyDescent="0.3"/>
    <row r="30" spans="1:93" ht="15.75" customHeight="1" x14ac:dyDescent="0.3"/>
    <row r="31" spans="1:93" ht="15.75" customHeight="1" x14ac:dyDescent="0.3"/>
    <row r="32" spans="1:9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186</v>
      </c>
      <c r="B2" s="58">
        <v>9695.2800000000007</v>
      </c>
      <c r="C2" s="58">
        <v>19196.66</v>
      </c>
      <c r="D2" s="58">
        <v>28504.13</v>
      </c>
      <c r="E2" s="58">
        <v>37627.379999999997</v>
      </c>
      <c r="F2" s="58">
        <v>46566.43</v>
      </c>
      <c r="G2" s="58">
        <v>55330.97</v>
      </c>
      <c r="H2" s="58">
        <v>63920.97</v>
      </c>
      <c r="I2" s="58">
        <v>72336.490000000005</v>
      </c>
      <c r="J2" s="58">
        <v>80587.17</v>
      </c>
      <c r="K2" s="58">
        <v>88673.03</v>
      </c>
      <c r="L2" s="58">
        <v>96594.07</v>
      </c>
      <c r="M2" s="58">
        <v>104359.99</v>
      </c>
      <c r="N2" s="58">
        <v>703392.57</v>
      </c>
      <c r="O2" s="58">
        <v>111970.78</v>
      </c>
      <c r="P2" s="58">
        <v>119426.45</v>
      </c>
      <c r="Q2" s="58">
        <v>126736.7</v>
      </c>
      <c r="R2" s="58">
        <v>133901.51999999999</v>
      </c>
      <c r="S2" s="58">
        <v>140920.89000000001</v>
      </c>
      <c r="T2" s="58">
        <v>147794.85</v>
      </c>
      <c r="U2" s="58">
        <v>154533.06</v>
      </c>
      <c r="V2" s="58">
        <v>161135.54999999999</v>
      </c>
      <c r="W2" s="58">
        <v>167612</v>
      </c>
      <c r="X2" s="58">
        <v>173952.72</v>
      </c>
      <c r="Y2" s="58">
        <v>180167.38</v>
      </c>
      <c r="Z2" s="58">
        <v>186256.03</v>
      </c>
      <c r="AA2" s="58">
        <v>1804407.93</v>
      </c>
      <c r="AB2" s="58">
        <v>192228.32</v>
      </c>
      <c r="AC2" s="58">
        <v>198074.57</v>
      </c>
      <c r="AD2" s="58">
        <v>203804.48</v>
      </c>
      <c r="AE2" s="58">
        <v>209427.75</v>
      </c>
      <c r="AF2" s="58">
        <v>214934.66</v>
      </c>
      <c r="AG2" s="58">
        <v>220334.94</v>
      </c>
      <c r="AH2" s="58">
        <v>225618.86</v>
      </c>
      <c r="AI2" s="58">
        <v>230805.84</v>
      </c>
      <c r="AJ2" s="58">
        <v>235886.17</v>
      </c>
      <c r="AK2" s="58">
        <v>240859.83</v>
      </c>
      <c r="AL2" s="58">
        <v>245736.57</v>
      </c>
      <c r="AM2" s="58">
        <v>250516.33</v>
      </c>
      <c r="AN2" s="58">
        <v>2668228.3199999998</v>
      </c>
      <c r="AO2" s="58">
        <v>255199.16</v>
      </c>
      <c r="AP2" s="58">
        <v>259794.73</v>
      </c>
      <c r="AQ2" s="58">
        <v>264293.33</v>
      </c>
      <c r="AR2" s="58">
        <v>268704.69</v>
      </c>
      <c r="AS2" s="58">
        <v>273028.78999999998</v>
      </c>
      <c r="AT2" s="58">
        <v>277265.61</v>
      </c>
      <c r="AU2" s="58">
        <v>281415.2</v>
      </c>
      <c r="AV2" s="58">
        <v>285477.52</v>
      </c>
      <c r="AW2" s="58">
        <v>289462.28000000003</v>
      </c>
      <c r="AX2" s="58">
        <v>293369.48</v>
      </c>
      <c r="AY2" s="58">
        <v>297199.11</v>
      </c>
      <c r="AZ2" s="58">
        <v>300951.19</v>
      </c>
      <c r="BA2" s="58">
        <v>3346161.09</v>
      </c>
      <c r="BB2" s="58">
        <v>304625.69</v>
      </c>
      <c r="BC2" s="58">
        <v>308232.34999999998</v>
      </c>
      <c r="BD2" s="58">
        <v>311761.42</v>
      </c>
      <c r="BE2" s="58">
        <v>315222.64</v>
      </c>
      <c r="BF2" s="58">
        <v>318615.98</v>
      </c>
      <c r="BG2" s="58">
        <v>321941.46999999997</v>
      </c>
      <c r="BH2" s="58">
        <v>325199.09000000003</v>
      </c>
      <c r="BI2" s="58">
        <v>328388.83</v>
      </c>
      <c r="BJ2" s="58">
        <v>331520.40000000002</v>
      </c>
      <c r="BK2" s="58">
        <v>334584.11</v>
      </c>
      <c r="BL2" s="58">
        <v>337589.65</v>
      </c>
      <c r="BM2" s="58">
        <v>340537.01</v>
      </c>
      <c r="BN2" s="58">
        <v>3878218.64</v>
      </c>
      <c r="BO2" s="58">
        <v>343426.21</v>
      </c>
      <c r="BP2" s="58">
        <v>346257.22</v>
      </c>
      <c r="BQ2" s="58">
        <v>349030.08</v>
      </c>
      <c r="BR2" s="58">
        <v>351744.76</v>
      </c>
      <c r="BS2" s="58">
        <v>354401.26</v>
      </c>
      <c r="BT2" s="58">
        <v>357009.29</v>
      </c>
      <c r="BU2" s="58">
        <v>359568.85</v>
      </c>
      <c r="BV2" s="58">
        <v>362070.23</v>
      </c>
      <c r="BW2" s="58">
        <v>364523.13</v>
      </c>
      <c r="BX2" s="58">
        <v>366927.57</v>
      </c>
      <c r="BY2" s="58">
        <v>369283.51</v>
      </c>
      <c r="BZ2" s="58">
        <v>371591</v>
      </c>
      <c r="CA2" s="58">
        <v>4295833.1100000003</v>
      </c>
      <c r="CB2" s="58">
        <v>373849.99</v>
      </c>
      <c r="CC2" s="58">
        <v>376070.21</v>
      </c>
      <c r="CD2" s="58">
        <v>378241.96</v>
      </c>
      <c r="CE2" s="58">
        <v>380374.91</v>
      </c>
      <c r="CF2" s="58">
        <v>382459.4</v>
      </c>
      <c r="CG2" s="58">
        <v>384505.11</v>
      </c>
      <c r="CH2" s="58">
        <v>386512.03</v>
      </c>
      <c r="CI2" s="58">
        <v>388480.17</v>
      </c>
      <c r="CJ2" s="58">
        <v>390409.53</v>
      </c>
      <c r="CK2" s="58">
        <v>392300.11</v>
      </c>
      <c r="CL2" s="58">
        <v>394151.91</v>
      </c>
      <c r="CM2" s="58">
        <v>395964.93</v>
      </c>
      <c r="CN2" s="58">
        <v>4623320.26</v>
      </c>
      <c r="CO2" s="58">
        <v>21319561.920000002</v>
      </c>
    </row>
    <row r="3" spans="1:93" ht="14.4" x14ac:dyDescent="0.3">
      <c r="A3" s="56" t="s">
        <v>187</v>
      </c>
      <c r="B3" s="58">
        <v>27195</v>
      </c>
      <c r="C3" s="58">
        <v>37857.68</v>
      </c>
      <c r="D3" s="58">
        <v>41602.92</v>
      </c>
      <c r="E3" s="58">
        <v>45271.97</v>
      </c>
      <c r="F3" s="58">
        <v>49379.41</v>
      </c>
      <c r="G3" s="58">
        <v>53981.52</v>
      </c>
      <c r="H3" s="58">
        <v>59558.87</v>
      </c>
      <c r="I3" s="58">
        <v>64044.46</v>
      </c>
      <c r="J3" s="58">
        <v>68440.070000000007</v>
      </c>
      <c r="K3" s="58">
        <v>72749.259999999995</v>
      </c>
      <c r="L3" s="58">
        <v>76971.56</v>
      </c>
      <c r="M3" s="58">
        <v>81108.710000000006</v>
      </c>
      <c r="N3" s="58">
        <v>678161.43</v>
      </c>
      <c r="O3" s="58">
        <v>99960.8</v>
      </c>
      <c r="P3" s="58">
        <v>103734.33</v>
      </c>
      <c r="Q3" s="58">
        <v>107565.06</v>
      </c>
      <c r="R3" s="58">
        <v>111320.59</v>
      </c>
      <c r="S3" s="58">
        <v>115000.92</v>
      </c>
      <c r="T3" s="58">
        <v>118606.01</v>
      </c>
      <c r="U3" s="58">
        <v>122137.67</v>
      </c>
      <c r="V3" s="58">
        <v>125598.95</v>
      </c>
      <c r="W3" s="58">
        <v>128992.13</v>
      </c>
      <c r="X3" s="58">
        <v>132318.04999999999</v>
      </c>
      <c r="Y3" s="58">
        <v>135575.35999999999</v>
      </c>
      <c r="Z3" s="58">
        <v>138767.65</v>
      </c>
      <c r="AA3" s="58">
        <v>1439577.52</v>
      </c>
      <c r="AB3" s="58">
        <v>152032.69</v>
      </c>
      <c r="AC3" s="58">
        <v>154245.79</v>
      </c>
      <c r="AD3" s="58">
        <v>162637.64000000001</v>
      </c>
      <c r="AE3" s="58">
        <v>165971.57999999999</v>
      </c>
      <c r="AF3" s="58">
        <v>168811.45</v>
      </c>
      <c r="AG3" s="58">
        <v>171593.89</v>
      </c>
      <c r="AH3" s="58">
        <v>174320.27</v>
      </c>
      <c r="AI3" s="58">
        <v>176991.48</v>
      </c>
      <c r="AJ3" s="58">
        <v>179611.47</v>
      </c>
      <c r="AK3" s="58">
        <v>182176.65</v>
      </c>
      <c r="AL3" s="58">
        <v>184689.74</v>
      </c>
      <c r="AM3" s="58">
        <v>187153.88</v>
      </c>
      <c r="AN3" s="58">
        <v>2060236.53</v>
      </c>
      <c r="AO3" s="58">
        <v>195586.43</v>
      </c>
      <c r="AP3" s="58">
        <v>196833.37</v>
      </c>
      <c r="AQ3" s="58">
        <v>202961.54</v>
      </c>
      <c r="AR3" s="58">
        <v>205196.38</v>
      </c>
      <c r="AS3" s="58">
        <v>207387.61</v>
      </c>
      <c r="AT3" s="58">
        <v>209534.7</v>
      </c>
      <c r="AU3" s="58">
        <v>211638.15</v>
      </c>
      <c r="AV3" s="58">
        <v>213698.5</v>
      </c>
      <c r="AW3" s="58">
        <v>215716.97</v>
      </c>
      <c r="AX3" s="58">
        <v>217696.16</v>
      </c>
      <c r="AY3" s="58">
        <v>222950.58</v>
      </c>
      <c r="AZ3" s="58">
        <v>225166.21</v>
      </c>
      <c r="BA3" s="58">
        <v>2524366.6</v>
      </c>
      <c r="BB3" s="58">
        <v>232931.07</v>
      </c>
      <c r="BC3" s="58">
        <v>240071.33</v>
      </c>
      <c r="BD3" s="58">
        <v>248549.98</v>
      </c>
      <c r="BE3" s="58">
        <v>250423.74</v>
      </c>
      <c r="BF3" s="58">
        <v>252261.19</v>
      </c>
      <c r="BG3" s="58">
        <v>254062.25</v>
      </c>
      <c r="BH3" s="58">
        <v>255826.96</v>
      </c>
      <c r="BI3" s="58">
        <v>257555.81</v>
      </c>
      <c r="BJ3" s="58">
        <v>259250.27</v>
      </c>
      <c r="BK3" s="58">
        <v>260911.17</v>
      </c>
      <c r="BL3" s="58">
        <v>266287.68</v>
      </c>
      <c r="BM3" s="58">
        <v>260647.2</v>
      </c>
      <c r="BN3" s="58">
        <v>3038778.65</v>
      </c>
      <c r="BO3" s="58">
        <v>260730.1</v>
      </c>
      <c r="BP3" s="58">
        <v>261291.31</v>
      </c>
      <c r="BQ3" s="58">
        <v>262661.18</v>
      </c>
      <c r="BR3" s="58">
        <v>264001.98</v>
      </c>
      <c r="BS3" s="58">
        <v>265314.69</v>
      </c>
      <c r="BT3" s="58">
        <v>266601.07</v>
      </c>
      <c r="BU3" s="58">
        <v>267863.71999999997</v>
      </c>
      <c r="BV3" s="58">
        <v>269100.87</v>
      </c>
      <c r="BW3" s="58">
        <v>270311.19</v>
      </c>
      <c r="BX3" s="58">
        <v>271498.27</v>
      </c>
      <c r="BY3" s="58">
        <v>272661.62</v>
      </c>
      <c r="BZ3" s="58">
        <v>273801.24</v>
      </c>
      <c r="CA3" s="58">
        <v>3205837.24</v>
      </c>
      <c r="CB3" s="58">
        <v>282991.61</v>
      </c>
      <c r="CC3" s="58">
        <v>283275.01</v>
      </c>
      <c r="CD3" s="58">
        <v>284339.27</v>
      </c>
      <c r="CE3" s="58">
        <v>285381.53999999998</v>
      </c>
      <c r="CF3" s="58">
        <v>286403.15000000002</v>
      </c>
      <c r="CG3" s="58">
        <v>287403.31</v>
      </c>
      <c r="CH3" s="58">
        <v>288385.07</v>
      </c>
      <c r="CI3" s="58">
        <v>289347.92</v>
      </c>
      <c r="CJ3" s="58">
        <v>293605.40999999997</v>
      </c>
      <c r="CK3" s="58">
        <v>296968.5</v>
      </c>
      <c r="CL3" s="58">
        <v>297999.2</v>
      </c>
      <c r="CM3" s="58">
        <v>298887.01</v>
      </c>
      <c r="CN3" s="58">
        <v>3474987</v>
      </c>
      <c r="CO3" s="58">
        <v>16421944.970000001</v>
      </c>
    </row>
    <row r="4" spans="1:93" ht="14.4" x14ac:dyDescent="0.3">
      <c r="A4" s="56" t="s">
        <v>188</v>
      </c>
      <c r="B4" s="58">
        <v>8095</v>
      </c>
      <c r="C4" s="58">
        <v>17420.400000000001</v>
      </c>
      <c r="D4" s="58">
        <v>19855.099999999999</v>
      </c>
      <c r="E4" s="58">
        <v>22240.36</v>
      </c>
      <c r="F4" s="58">
        <v>25089.43</v>
      </c>
      <c r="G4" s="58">
        <v>28458.560000000001</v>
      </c>
      <c r="H4" s="58">
        <v>31827.01</v>
      </c>
      <c r="I4" s="58">
        <v>35127.78</v>
      </c>
      <c r="J4" s="58">
        <v>38362.620000000003</v>
      </c>
      <c r="K4" s="58">
        <v>41533.79</v>
      </c>
      <c r="L4" s="58">
        <v>44640.800000000003</v>
      </c>
      <c r="M4" s="58">
        <v>47685.39</v>
      </c>
      <c r="N4" s="58">
        <v>360336.24</v>
      </c>
      <c r="O4" s="58">
        <v>50501.32</v>
      </c>
      <c r="P4" s="58">
        <v>53225.09</v>
      </c>
      <c r="Q4" s="58">
        <v>56027.45</v>
      </c>
      <c r="R4" s="58">
        <v>58774.67</v>
      </c>
      <c r="S4" s="58">
        <v>61466.74</v>
      </c>
      <c r="T4" s="58">
        <v>64103.65</v>
      </c>
      <c r="U4" s="58">
        <v>66687.17</v>
      </c>
      <c r="V4" s="58">
        <v>69219.05</v>
      </c>
      <c r="W4" s="58">
        <v>71701.539999999994</v>
      </c>
      <c r="X4" s="58">
        <v>74134.149999999994</v>
      </c>
      <c r="Y4" s="58">
        <v>76516.88</v>
      </c>
      <c r="Z4" s="58">
        <v>78851.98</v>
      </c>
      <c r="AA4" s="58">
        <v>781209.69</v>
      </c>
      <c r="AB4" s="58">
        <v>80312.2</v>
      </c>
      <c r="AC4" s="58">
        <v>81701.539999999994</v>
      </c>
      <c r="AD4" s="58">
        <v>84287.01</v>
      </c>
      <c r="AE4" s="58">
        <v>86830.62</v>
      </c>
      <c r="AF4" s="58">
        <v>88894.86</v>
      </c>
      <c r="AG4" s="58">
        <v>90917.73</v>
      </c>
      <c r="AH4" s="58">
        <v>92899.24</v>
      </c>
      <c r="AI4" s="58">
        <v>94841.64</v>
      </c>
      <c r="AJ4" s="58">
        <v>96746.18</v>
      </c>
      <c r="AK4" s="58">
        <v>98610.62</v>
      </c>
      <c r="AL4" s="58">
        <v>100437.7</v>
      </c>
      <c r="AM4" s="58">
        <v>102229.18</v>
      </c>
      <c r="AN4" s="58">
        <v>1098708.52</v>
      </c>
      <c r="AO4" s="58">
        <v>102787.46</v>
      </c>
      <c r="AP4" s="58">
        <v>103388.49</v>
      </c>
      <c r="AQ4" s="58">
        <v>105132.78</v>
      </c>
      <c r="AR4" s="58">
        <v>106747.13</v>
      </c>
      <c r="AS4" s="58">
        <v>108329.89</v>
      </c>
      <c r="AT4" s="58">
        <v>109880.55</v>
      </c>
      <c r="AU4" s="58">
        <v>111399.62</v>
      </c>
      <c r="AV4" s="58">
        <v>112887.61</v>
      </c>
      <c r="AW4" s="58">
        <v>114345.76</v>
      </c>
      <c r="AX4" s="58">
        <v>115775.33</v>
      </c>
      <c r="AY4" s="58">
        <v>117490.82</v>
      </c>
      <c r="AZ4" s="58">
        <v>119178.23</v>
      </c>
      <c r="BA4" s="58">
        <v>1327343.67</v>
      </c>
      <c r="BB4" s="58">
        <v>119210.56</v>
      </c>
      <c r="BC4" s="58">
        <v>125844</v>
      </c>
      <c r="BD4" s="58">
        <v>133825.17000000001</v>
      </c>
      <c r="BE4" s="58">
        <v>135212.17000000001</v>
      </c>
      <c r="BF4" s="58">
        <v>136572.20000000001</v>
      </c>
      <c r="BG4" s="58">
        <v>137905.22</v>
      </c>
      <c r="BH4" s="58">
        <v>139211.24</v>
      </c>
      <c r="BI4" s="58">
        <v>140490.76</v>
      </c>
      <c r="BJ4" s="58">
        <v>141745.26</v>
      </c>
      <c r="BK4" s="58">
        <v>142974.22</v>
      </c>
      <c r="BL4" s="58">
        <v>144178.15</v>
      </c>
      <c r="BM4" s="58">
        <v>138123.10999999999</v>
      </c>
      <c r="BN4" s="58">
        <v>1635292.06</v>
      </c>
      <c r="BO4" s="58">
        <v>131139.48000000001</v>
      </c>
      <c r="BP4" s="58">
        <v>131302.18</v>
      </c>
      <c r="BQ4" s="58">
        <v>132281.57</v>
      </c>
      <c r="BR4" s="58">
        <v>133239.9</v>
      </c>
      <c r="BS4" s="58">
        <v>134178.17000000001</v>
      </c>
      <c r="BT4" s="58">
        <v>135098.14000000001</v>
      </c>
      <c r="BU4" s="58">
        <v>136001.06</v>
      </c>
      <c r="BV4" s="58">
        <v>136885.17000000001</v>
      </c>
      <c r="BW4" s="58">
        <v>137750.47</v>
      </c>
      <c r="BX4" s="58">
        <v>138599.22</v>
      </c>
      <c r="BY4" s="58">
        <v>139430.92000000001</v>
      </c>
      <c r="BZ4" s="58">
        <v>140245.59</v>
      </c>
      <c r="CA4" s="58">
        <v>1626151.87</v>
      </c>
      <c r="CB4" s="58">
        <v>140237.68</v>
      </c>
      <c r="CC4" s="58">
        <v>140209.5</v>
      </c>
      <c r="CD4" s="58">
        <v>140967.51999999999</v>
      </c>
      <c r="CE4" s="58">
        <v>141710.23000000001</v>
      </c>
      <c r="CF4" s="58">
        <v>142437.65</v>
      </c>
      <c r="CG4" s="58">
        <v>143150.29</v>
      </c>
      <c r="CH4" s="58">
        <v>143849.88</v>
      </c>
      <c r="CI4" s="58">
        <v>144535.92000000001</v>
      </c>
      <c r="CJ4" s="58">
        <v>145521.94</v>
      </c>
      <c r="CK4" s="58">
        <v>146618.91</v>
      </c>
      <c r="CL4" s="58">
        <v>147388.84</v>
      </c>
      <c r="CM4" s="58">
        <v>148021.23000000001</v>
      </c>
      <c r="CN4" s="58">
        <v>1724649.59</v>
      </c>
      <c r="CO4" s="58">
        <v>8553691.6400000006</v>
      </c>
    </row>
    <row r="5" spans="1:93" ht="14.4" x14ac:dyDescent="0.3">
      <c r="A5" s="56" t="s">
        <v>189</v>
      </c>
      <c r="B5" s="58">
        <v>19100</v>
      </c>
      <c r="C5" s="58">
        <v>19100</v>
      </c>
      <c r="D5" s="58">
        <v>19100</v>
      </c>
      <c r="E5" s="58">
        <v>19100</v>
      </c>
      <c r="F5" s="58">
        <v>19100</v>
      </c>
      <c r="G5" s="58">
        <v>19100</v>
      </c>
      <c r="H5" s="58">
        <v>20100</v>
      </c>
      <c r="I5" s="58">
        <v>20100</v>
      </c>
      <c r="J5" s="58">
        <v>20100</v>
      </c>
      <c r="K5" s="58">
        <v>20100</v>
      </c>
      <c r="L5" s="58">
        <v>20100</v>
      </c>
      <c r="M5" s="58">
        <v>20100</v>
      </c>
      <c r="N5" s="58">
        <v>235200</v>
      </c>
      <c r="O5" s="58">
        <v>35065</v>
      </c>
      <c r="P5" s="58">
        <v>35065</v>
      </c>
      <c r="Q5" s="58">
        <v>35065</v>
      </c>
      <c r="R5" s="58">
        <v>35065</v>
      </c>
      <c r="S5" s="58">
        <v>35065</v>
      </c>
      <c r="T5" s="58">
        <v>35065</v>
      </c>
      <c r="U5" s="58">
        <v>35065</v>
      </c>
      <c r="V5" s="58">
        <v>35065</v>
      </c>
      <c r="W5" s="58">
        <v>35065</v>
      </c>
      <c r="X5" s="58">
        <v>35065</v>
      </c>
      <c r="Y5" s="58">
        <v>35065</v>
      </c>
      <c r="Z5" s="58">
        <v>35065</v>
      </c>
      <c r="AA5" s="58">
        <v>420780</v>
      </c>
      <c r="AB5" s="58">
        <v>46030</v>
      </c>
      <c r="AC5" s="58">
        <v>46030</v>
      </c>
      <c r="AD5" s="58">
        <v>51030</v>
      </c>
      <c r="AE5" s="58">
        <v>51030</v>
      </c>
      <c r="AF5" s="58">
        <v>51030</v>
      </c>
      <c r="AG5" s="58">
        <v>51030</v>
      </c>
      <c r="AH5" s="58">
        <v>51030</v>
      </c>
      <c r="AI5" s="58">
        <v>51030</v>
      </c>
      <c r="AJ5" s="58">
        <v>51030</v>
      </c>
      <c r="AK5" s="58">
        <v>51030</v>
      </c>
      <c r="AL5" s="58">
        <v>51030</v>
      </c>
      <c r="AM5" s="58">
        <v>51030</v>
      </c>
      <c r="AN5" s="58">
        <v>602360</v>
      </c>
      <c r="AO5" s="58">
        <v>58245</v>
      </c>
      <c r="AP5" s="58">
        <v>58245</v>
      </c>
      <c r="AQ5" s="58">
        <v>61995</v>
      </c>
      <c r="AR5" s="58">
        <v>61995</v>
      </c>
      <c r="AS5" s="58">
        <v>61995</v>
      </c>
      <c r="AT5" s="58">
        <v>61995</v>
      </c>
      <c r="AU5" s="58">
        <v>61995</v>
      </c>
      <c r="AV5" s="58">
        <v>61995</v>
      </c>
      <c r="AW5" s="58">
        <v>61995</v>
      </c>
      <c r="AX5" s="58">
        <v>61995</v>
      </c>
      <c r="AY5" s="58">
        <v>64995</v>
      </c>
      <c r="AZ5" s="58">
        <v>64995</v>
      </c>
      <c r="BA5" s="58">
        <v>742440</v>
      </c>
      <c r="BB5" s="58">
        <v>72210</v>
      </c>
      <c r="BC5" s="58">
        <v>72210</v>
      </c>
      <c r="BD5" s="58">
        <v>72210</v>
      </c>
      <c r="BE5" s="58">
        <v>72210</v>
      </c>
      <c r="BF5" s="58">
        <v>72210</v>
      </c>
      <c r="BG5" s="58">
        <v>72210</v>
      </c>
      <c r="BH5" s="58">
        <v>72210</v>
      </c>
      <c r="BI5" s="58">
        <v>72210</v>
      </c>
      <c r="BJ5" s="58">
        <v>72210</v>
      </c>
      <c r="BK5" s="58">
        <v>72210</v>
      </c>
      <c r="BL5" s="58">
        <v>75960</v>
      </c>
      <c r="BM5" s="58">
        <v>75960</v>
      </c>
      <c r="BN5" s="58">
        <v>874020</v>
      </c>
      <c r="BO5" s="58">
        <v>82620</v>
      </c>
      <c r="BP5" s="58">
        <v>82620</v>
      </c>
      <c r="BQ5" s="58">
        <v>82620</v>
      </c>
      <c r="BR5" s="58">
        <v>82620</v>
      </c>
      <c r="BS5" s="58">
        <v>82620</v>
      </c>
      <c r="BT5" s="58">
        <v>82620</v>
      </c>
      <c r="BU5" s="58">
        <v>82620</v>
      </c>
      <c r="BV5" s="58">
        <v>82620</v>
      </c>
      <c r="BW5" s="58">
        <v>82620</v>
      </c>
      <c r="BX5" s="58">
        <v>82620</v>
      </c>
      <c r="BY5" s="58">
        <v>82620</v>
      </c>
      <c r="BZ5" s="58">
        <v>82620</v>
      </c>
      <c r="CA5" s="58">
        <v>991440</v>
      </c>
      <c r="CB5" s="58">
        <v>91500</v>
      </c>
      <c r="CC5" s="58">
        <v>91500</v>
      </c>
      <c r="CD5" s="58">
        <v>91500</v>
      </c>
      <c r="CE5" s="58">
        <v>91500</v>
      </c>
      <c r="CF5" s="58">
        <v>91500</v>
      </c>
      <c r="CG5" s="58">
        <v>91500</v>
      </c>
      <c r="CH5" s="58">
        <v>91500</v>
      </c>
      <c r="CI5" s="58">
        <v>91500</v>
      </c>
      <c r="CJ5" s="58">
        <v>94500</v>
      </c>
      <c r="CK5" s="58">
        <v>96500</v>
      </c>
      <c r="CL5" s="58">
        <v>96500</v>
      </c>
      <c r="CM5" s="58">
        <v>96500</v>
      </c>
      <c r="CN5" s="58">
        <v>1116000</v>
      </c>
      <c r="CO5" s="58">
        <v>4982240</v>
      </c>
    </row>
    <row r="6" spans="1:93" ht="14.4" x14ac:dyDescent="0.3">
      <c r="A6" s="56" t="s">
        <v>190</v>
      </c>
      <c r="B6" s="58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58">
        <v>0</v>
      </c>
      <c r="AZ6" s="58">
        <v>0</v>
      </c>
      <c r="BA6" s="58">
        <v>0</v>
      </c>
      <c r="BB6" s="58">
        <v>0</v>
      </c>
      <c r="BC6" s="58">
        <v>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8">
        <v>0</v>
      </c>
      <c r="BZ6" s="58">
        <v>0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0</v>
      </c>
      <c r="CM6" s="58">
        <v>0</v>
      </c>
      <c r="CN6" s="58">
        <v>0</v>
      </c>
      <c r="CO6" s="58">
        <v>0</v>
      </c>
    </row>
    <row r="7" spans="1:93" ht="14.4" x14ac:dyDescent="0.3">
      <c r="A7" s="56" t="s">
        <v>191</v>
      </c>
      <c r="B7" s="58">
        <v>0</v>
      </c>
      <c r="C7" s="58">
        <v>1337.28</v>
      </c>
      <c r="D7" s="58">
        <v>2647.82</v>
      </c>
      <c r="E7" s="58">
        <v>3931.61</v>
      </c>
      <c r="F7" s="58">
        <v>5189.9799999999996</v>
      </c>
      <c r="G7" s="58">
        <v>6422.96</v>
      </c>
      <c r="H7" s="58">
        <v>7631.86</v>
      </c>
      <c r="I7" s="58">
        <v>8816.68</v>
      </c>
      <c r="J7" s="58">
        <v>9977.4500000000007</v>
      </c>
      <c r="K7" s="58">
        <v>11115.47</v>
      </c>
      <c r="L7" s="58">
        <v>12230.76</v>
      </c>
      <c r="M7" s="58">
        <v>13323.32</v>
      </c>
      <c r="N7" s="58">
        <v>82625.19</v>
      </c>
      <c r="O7" s="58">
        <v>14394.48</v>
      </c>
      <c r="P7" s="58">
        <v>15444.24</v>
      </c>
      <c r="Q7" s="58">
        <v>16472.61</v>
      </c>
      <c r="R7" s="58">
        <v>17480.919999999998</v>
      </c>
      <c r="S7" s="58">
        <v>18469.18</v>
      </c>
      <c r="T7" s="58">
        <v>19437.36</v>
      </c>
      <c r="U7" s="58">
        <v>20385.5</v>
      </c>
      <c r="V7" s="58">
        <v>21314.9</v>
      </c>
      <c r="W7" s="58">
        <v>22225.59</v>
      </c>
      <c r="X7" s="58">
        <v>23118.9</v>
      </c>
      <c r="Y7" s="58">
        <v>23993.48</v>
      </c>
      <c r="Z7" s="58">
        <v>24850.67</v>
      </c>
      <c r="AA7" s="58">
        <v>237587.83</v>
      </c>
      <c r="AB7" s="58">
        <v>25690.49</v>
      </c>
      <c r="AC7" s="58">
        <v>26514.25</v>
      </c>
      <c r="AD7" s="58">
        <v>27320.63</v>
      </c>
      <c r="AE7" s="58">
        <v>28110.959999999999</v>
      </c>
      <c r="AF7" s="58">
        <v>28886.59</v>
      </c>
      <c r="AG7" s="58">
        <v>29646.16</v>
      </c>
      <c r="AH7" s="58">
        <v>30391.03</v>
      </c>
      <c r="AI7" s="58">
        <v>31119.84</v>
      </c>
      <c r="AJ7" s="58">
        <v>31835.29</v>
      </c>
      <c r="AK7" s="58">
        <v>32536.03</v>
      </c>
      <c r="AL7" s="58">
        <v>33222.04</v>
      </c>
      <c r="AM7" s="58">
        <v>33894.699999999997</v>
      </c>
      <c r="AN7" s="58">
        <v>359168.01</v>
      </c>
      <c r="AO7" s="58">
        <v>34553.97</v>
      </c>
      <c r="AP7" s="58">
        <v>35199.879999999997</v>
      </c>
      <c r="AQ7" s="58">
        <v>35833.760000000002</v>
      </c>
      <c r="AR7" s="58">
        <v>36454.25</v>
      </c>
      <c r="AS7" s="58">
        <v>37062.720000000001</v>
      </c>
      <c r="AT7" s="58">
        <v>37659.15</v>
      </c>
      <c r="AU7" s="58">
        <v>38243.53</v>
      </c>
      <c r="AV7" s="58">
        <v>38815.89</v>
      </c>
      <c r="AW7" s="58">
        <v>39376.21</v>
      </c>
      <c r="AX7" s="58">
        <v>39925.83</v>
      </c>
      <c r="AY7" s="58">
        <v>40464.76</v>
      </c>
      <c r="AZ7" s="58">
        <v>40992.980000000003</v>
      </c>
      <c r="BA7" s="58">
        <v>454582.93</v>
      </c>
      <c r="BB7" s="58">
        <v>41510.51</v>
      </c>
      <c r="BC7" s="58">
        <v>42017.33</v>
      </c>
      <c r="BD7" s="58">
        <v>42514.81</v>
      </c>
      <c r="BE7" s="58">
        <v>43001.57</v>
      </c>
      <c r="BF7" s="58">
        <v>43478.99</v>
      </c>
      <c r="BG7" s="58">
        <v>43947.03</v>
      </c>
      <c r="BH7" s="58">
        <v>44405.72</v>
      </c>
      <c r="BI7" s="58">
        <v>44855.05</v>
      </c>
      <c r="BJ7" s="58">
        <v>45295.01</v>
      </c>
      <c r="BK7" s="58">
        <v>45726.95</v>
      </c>
      <c r="BL7" s="58">
        <v>46149.53</v>
      </c>
      <c r="BM7" s="58">
        <v>46564.09</v>
      </c>
      <c r="BN7" s="58">
        <v>529466.59</v>
      </c>
      <c r="BO7" s="58">
        <v>46970.62</v>
      </c>
      <c r="BP7" s="58">
        <v>47369.13</v>
      </c>
      <c r="BQ7" s="58">
        <v>47759.61</v>
      </c>
      <c r="BR7" s="58">
        <v>48142.080000000002</v>
      </c>
      <c r="BS7" s="58">
        <v>48516.52</v>
      </c>
      <c r="BT7" s="58">
        <v>48882.93</v>
      </c>
      <c r="BU7" s="58">
        <v>49242.66</v>
      </c>
      <c r="BV7" s="58">
        <v>49595.7</v>
      </c>
      <c r="BW7" s="58">
        <v>49940.72</v>
      </c>
      <c r="BX7" s="58">
        <v>50279.05</v>
      </c>
      <c r="BY7" s="58">
        <v>50610.7</v>
      </c>
      <c r="BZ7" s="58">
        <v>50935.65</v>
      </c>
      <c r="CA7" s="58">
        <v>588245.37</v>
      </c>
      <c r="CB7" s="58">
        <v>51253.93</v>
      </c>
      <c r="CC7" s="58">
        <v>51565.51</v>
      </c>
      <c r="CD7" s="58">
        <v>51871.75</v>
      </c>
      <c r="CE7" s="58">
        <v>52171.31</v>
      </c>
      <c r="CF7" s="58">
        <v>52465.5</v>
      </c>
      <c r="CG7" s="58">
        <v>52753.02</v>
      </c>
      <c r="CH7" s="58">
        <v>53035.19</v>
      </c>
      <c r="CI7" s="58">
        <v>53312</v>
      </c>
      <c r="CJ7" s="58">
        <v>53583.47</v>
      </c>
      <c r="CK7" s="58">
        <v>53849.59</v>
      </c>
      <c r="CL7" s="58">
        <v>54110.36</v>
      </c>
      <c r="CM7" s="58">
        <v>54365.78</v>
      </c>
      <c r="CN7" s="58">
        <v>634337.41</v>
      </c>
      <c r="CO7" s="58">
        <v>2886013.33</v>
      </c>
    </row>
    <row r="8" spans="1:93" ht="14.4" x14ac:dyDescent="0.3">
      <c r="A8" s="56" t="s">
        <v>192</v>
      </c>
      <c r="B8" s="58">
        <v>0</v>
      </c>
      <c r="C8" s="58">
        <v>0</v>
      </c>
      <c r="D8" s="58">
        <v>0</v>
      </c>
      <c r="E8" s="58">
        <v>0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58">
        <v>0</v>
      </c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  <c r="AY8" s="58">
        <v>0</v>
      </c>
      <c r="AZ8" s="58">
        <v>0</v>
      </c>
      <c r="BA8" s="58">
        <v>0</v>
      </c>
      <c r="BB8" s="58">
        <v>0</v>
      </c>
      <c r="BC8" s="58">
        <v>0</v>
      </c>
      <c r="BD8" s="58">
        <v>0</v>
      </c>
      <c r="BE8" s="58">
        <v>0</v>
      </c>
      <c r="BF8" s="58">
        <v>0</v>
      </c>
      <c r="BG8" s="58">
        <v>0</v>
      </c>
      <c r="BH8" s="58">
        <v>0</v>
      </c>
      <c r="BI8" s="58">
        <v>0</v>
      </c>
      <c r="BJ8" s="58">
        <v>0</v>
      </c>
      <c r="BK8" s="58">
        <v>0</v>
      </c>
      <c r="BL8" s="58">
        <v>0</v>
      </c>
      <c r="BM8" s="58">
        <v>0</v>
      </c>
      <c r="BN8" s="58">
        <v>0</v>
      </c>
      <c r="BO8" s="58">
        <v>0</v>
      </c>
      <c r="BP8" s="58">
        <v>0</v>
      </c>
      <c r="BQ8" s="58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0</v>
      </c>
      <c r="BX8" s="58">
        <v>0</v>
      </c>
      <c r="BY8" s="58">
        <v>0</v>
      </c>
      <c r="BZ8" s="58">
        <v>0</v>
      </c>
      <c r="CA8" s="58">
        <v>0</v>
      </c>
      <c r="CB8" s="58">
        <v>0</v>
      </c>
      <c r="CC8" s="58">
        <v>0</v>
      </c>
      <c r="CD8" s="58">
        <v>0</v>
      </c>
      <c r="CE8" s="58">
        <v>0</v>
      </c>
      <c r="CF8" s="58">
        <v>0</v>
      </c>
      <c r="CG8" s="58">
        <v>0</v>
      </c>
      <c r="CH8" s="58">
        <v>0</v>
      </c>
      <c r="CI8" s="58">
        <v>0</v>
      </c>
      <c r="CJ8" s="58">
        <v>0</v>
      </c>
      <c r="CK8" s="58">
        <v>0</v>
      </c>
      <c r="CL8" s="58">
        <v>0</v>
      </c>
      <c r="CM8" s="58">
        <v>0</v>
      </c>
      <c r="CN8" s="58">
        <v>0</v>
      </c>
      <c r="CO8" s="58">
        <v>0</v>
      </c>
    </row>
    <row r="9" spans="1:93" ht="14.4" x14ac:dyDescent="0.3">
      <c r="A9" s="56" t="s">
        <v>193</v>
      </c>
      <c r="B9" s="58">
        <v>-17499.72</v>
      </c>
      <c r="C9" s="58">
        <v>-18661.02</v>
      </c>
      <c r="D9" s="58">
        <v>-13098.79</v>
      </c>
      <c r="E9" s="58">
        <v>-7644.59</v>
      </c>
      <c r="F9" s="58">
        <v>-2812.98</v>
      </c>
      <c r="G9" s="58">
        <v>1349.45</v>
      </c>
      <c r="H9" s="58">
        <v>4362.1000000000004</v>
      </c>
      <c r="I9" s="58">
        <v>8292.0300000000007</v>
      </c>
      <c r="J9" s="58">
        <v>12147.1</v>
      </c>
      <c r="K9" s="58">
        <v>15923.77</v>
      </c>
      <c r="L9" s="58">
        <v>19622.509999999998</v>
      </c>
      <c r="M9" s="58">
        <v>23251.279999999999</v>
      </c>
      <c r="N9" s="58">
        <v>25231.14</v>
      </c>
      <c r="O9" s="58">
        <v>12009.98</v>
      </c>
      <c r="P9" s="58">
        <v>15692.12</v>
      </c>
      <c r="Q9" s="58">
        <v>19171.64</v>
      </c>
      <c r="R9" s="58">
        <v>22580.93</v>
      </c>
      <c r="S9" s="58">
        <v>25919.97</v>
      </c>
      <c r="T9" s="58">
        <v>29188.84</v>
      </c>
      <c r="U9" s="58">
        <v>32395.39</v>
      </c>
      <c r="V9" s="58">
        <v>35536.6</v>
      </c>
      <c r="W9" s="58">
        <v>38619.870000000003</v>
      </c>
      <c r="X9" s="58">
        <v>41634.67</v>
      </c>
      <c r="Y9" s="58">
        <v>44592.02</v>
      </c>
      <c r="Z9" s="58">
        <v>47488.38</v>
      </c>
      <c r="AA9" s="58">
        <v>364830.41</v>
      </c>
      <c r="AB9" s="58">
        <v>40195.629999999997</v>
      </c>
      <c r="AC9" s="58">
        <v>43828.78</v>
      </c>
      <c r="AD9" s="58">
        <v>41166.839999999997</v>
      </c>
      <c r="AE9" s="58">
        <v>43456.17</v>
      </c>
      <c r="AF9" s="58">
        <v>46123.21</v>
      </c>
      <c r="AG9" s="58">
        <v>48741.05</v>
      </c>
      <c r="AH9" s="58">
        <v>51298.59</v>
      </c>
      <c r="AI9" s="58">
        <v>53814.36</v>
      </c>
      <c r="AJ9" s="58">
        <v>56274.7</v>
      </c>
      <c r="AK9" s="58">
        <v>58683.18</v>
      </c>
      <c r="AL9" s="58">
        <v>61046.83</v>
      </c>
      <c r="AM9" s="58">
        <v>63362.45</v>
      </c>
      <c r="AN9" s="58">
        <v>607991.79</v>
      </c>
      <c r="AO9" s="58">
        <v>59612.73</v>
      </c>
      <c r="AP9" s="58">
        <v>62961.36</v>
      </c>
      <c r="AQ9" s="58">
        <v>61331.79</v>
      </c>
      <c r="AR9" s="58">
        <v>63508.31</v>
      </c>
      <c r="AS9" s="58">
        <v>65641.179999999993</v>
      </c>
      <c r="AT9" s="58">
        <v>67730.91</v>
      </c>
      <c r="AU9" s="58">
        <v>69777.05</v>
      </c>
      <c r="AV9" s="58">
        <v>71779.02</v>
      </c>
      <c r="AW9" s="58">
        <v>73745.31</v>
      </c>
      <c r="AX9" s="58">
        <v>75673.320000000007</v>
      </c>
      <c r="AY9" s="58">
        <v>74248.53</v>
      </c>
      <c r="AZ9" s="58">
        <v>75784.98</v>
      </c>
      <c r="BA9" s="58">
        <v>821794.49</v>
      </c>
      <c r="BB9" s="58">
        <v>71694.62</v>
      </c>
      <c r="BC9" s="58">
        <v>68161.02</v>
      </c>
      <c r="BD9" s="58">
        <v>63211.44</v>
      </c>
      <c r="BE9" s="58">
        <v>64798.9</v>
      </c>
      <c r="BF9" s="58">
        <v>66354.789999999994</v>
      </c>
      <c r="BG9" s="58">
        <v>67879.22</v>
      </c>
      <c r="BH9" s="58">
        <v>69372.13</v>
      </c>
      <c r="BI9" s="58">
        <v>70833.02</v>
      </c>
      <c r="BJ9" s="58">
        <v>72270.13</v>
      </c>
      <c r="BK9" s="58">
        <v>73672.94</v>
      </c>
      <c r="BL9" s="58">
        <v>71301.97</v>
      </c>
      <c r="BM9" s="58">
        <v>79889.81</v>
      </c>
      <c r="BN9" s="58">
        <v>839439.99</v>
      </c>
      <c r="BO9" s="58">
        <v>82696.11</v>
      </c>
      <c r="BP9" s="58">
        <v>84965.91</v>
      </c>
      <c r="BQ9" s="58">
        <v>86368.9</v>
      </c>
      <c r="BR9" s="58">
        <v>87742.78</v>
      </c>
      <c r="BS9" s="58">
        <v>89086.57</v>
      </c>
      <c r="BT9" s="58">
        <v>90408.22</v>
      </c>
      <c r="BU9" s="58">
        <v>91705.13</v>
      </c>
      <c r="BV9" s="58">
        <v>92969.36</v>
      </c>
      <c r="BW9" s="58">
        <v>94211.94</v>
      </c>
      <c r="BX9" s="58">
        <v>95429.3</v>
      </c>
      <c r="BY9" s="58">
        <v>96621.89</v>
      </c>
      <c r="BZ9" s="58">
        <v>97789.759999999995</v>
      </c>
      <c r="CA9" s="58">
        <v>1089995.8700000001</v>
      </c>
      <c r="CB9" s="58">
        <v>90858.38</v>
      </c>
      <c r="CC9" s="58">
        <v>92795.199999999997</v>
      </c>
      <c r="CD9" s="58">
        <v>93902.69</v>
      </c>
      <c r="CE9" s="58">
        <v>94993.37</v>
      </c>
      <c r="CF9" s="58">
        <v>96056.25</v>
      </c>
      <c r="CG9" s="58">
        <v>97101.8</v>
      </c>
      <c r="CH9" s="58">
        <v>98126.96</v>
      </c>
      <c r="CI9" s="58">
        <v>99132.25</v>
      </c>
      <c r="CJ9" s="58">
        <v>96804.12</v>
      </c>
      <c r="CK9" s="58">
        <v>95331.61</v>
      </c>
      <c r="CL9" s="58">
        <v>96152.71</v>
      </c>
      <c r="CM9" s="58">
        <v>97077.92</v>
      </c>
      <c r="CN9" s="58">
        <v>1148333.26</v>
      </c>
      <c r="CO9" s="58">
        <v>4897616.95</v>
      </c>
    </row>
    <row r="10" spans="1:93" ht="14.4" x14ac:dyDescent="0.3">
      <c r="A10" s="56" t="s">
        <v>169</v>
      </c>
    </row>
    <row r="11" spans="1:93" ht="14.4" x14ac:dyDescent="0.3">
      <c r="A11" s="56" t="s">
        <v>194</v>
      </c>
      <c r="B11" s="58">
        <v>0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  <c r="AI11" s="58">
        <v>0</v>
      </c>
      <c r="AJ11" s="58">
        <v>0</v>
      </c>
      <c r="AK11" s="58">
        <v>0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58">
        <v>0</v>
      </c>
      <c r="AS11" s="58">
        <v>0</v>
      </c>
      <c r="AT11" s="58">
        <v>0</v>
      </c>
      <c r="AU11" s="58">
        <v>0</v>
      </c>
      <c r="AV11" s="58">
        <v>0</v>
      </c>
      <c r="AW11" s="58">
        <v>0</v>
      </c>
      <c r="AX11" s="58">
        <v>0</v>
      </c>
      <c r="AY11" s="58">
        <v>0</v>
      </c>
      <c r="AZ11" s="58">
        <v>0</v>
      </c>
      <c r="BA11" s="58">
        <v>0</v>
      </c>
      <c r="BB11" s="58">
        <v>0</v>
      </c>
      <c r="BC11" s="58">
        <v>0</v>
      </c>
      <c r="BD11" s="58">
        <v>0</v>
      </c>
      <c r="BE11" s="58">
        <v>0</v>
      </c>
      <c r="BF11" s="58">
        <v>0</v>
      </c>
      <c r="BG11" s="58">
        <v>0</v>
      </c>
      <c r="BH11" s="58">
        <v>0</v>
      </c>
      <c r="BI11" s="58">
        <v>0</v>
      </c>
      <c r="BJ11" s="58">
        <v>0</v>
      </c>
      <c r="BK11" s="58">
        <v>0</v>
      </c>
      <c r="BL11" s="58">
        <v>0</v>
      </c>
      <c r="BM11" s="58">
        <v>0</v>
      </c>
      <c r="BN11" s="58">
        <v>0</v>
      </c>
      <c r="BO11" s="58">
        <v>0</v>
      </c>
      <c r="BP11" s="58">
        <v>0</v>
      </c>
      <c r="BQ11" s="58">
        <v>0</v>
      </c>
      <c r="BR11" s="58">
        <v>0</v>
      </c>
      <c r="BS11" s="58">
        <v>0</v>
      </c>
      <c r="BT11" s="58">
        <v>0</v>
      </c>
      <c r="BU11" s="58">
        <v>0</v>
      </c>
      <c r="BV11" s="58">
        <v>0</v>
      </c>
      <c r="BW11" s="58">
        <v>0</v>
      </c>
      <c r="BX11" s="58">
        <v>0</v>
      </c>
      <c r="BY11" s="58">
        <v>0</v>
      </c>
      <c r="BZ11" s="58">
        <v>0</v>
      </c>
      <c r="CA11" s="58">
        <v>0</v>
      </c>
      <c r="CB11" s="58">
        <v>0</v>
      </c>
      <c r="CC11" s="58">
        <v>0</v>
      </c>
      <c r="CD11" s="58">
        <v>0</v>
      </c>
      <c r="CE11" s="58">
        <v>0</v>
      </c>
      <c r="CF11" s="58">
        <v>0</v>
      </c>
      <c r="CG11" s="58">
        <v>0</v>
      </c>
      <c r="CH11" s="58">
        <v>0</v>
      </c>
      <c r="CI11" s="58">
        <v>0</v>
      </c>
      <c r="CJ11" s="58">
        <v>0</v>
      </c>
      <c r="CK11" s="58">
        <v>0</v>
      </c>
      <c r="CL11" s="58">
        <v>0</v>
      </c>
      <c r="CM11" s="58">
        <v>0</v>
      </c>
      <c r="CN11" s="58">
        <v>0</v>
      </c>
      <c r="CO11" s="58">
        <v>0</v>
      </c>
    </row>
    <row r="12" spans="1:93" ht="14.4" x14ac:dyDescent="0.3">
      <c r="A12" s="56" t="s">
        <v>195</v>
      </c>
      <c r="B12" s="58">
        <v>0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  <c r="AI12" s="58">
        <v>0</v>
      </c>
      <c r="AJ12" s="58">
        <v>0</v>
      </c>
      <c r="AK12" s="58">
        <v>0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58">
        <v>0</v>
      </c>
      <c r="AS12" s="58">
        <v>0</v>
      </c>
      <c r="AT12" s="58">
        <v>0</v>
      </c>
      <c r="AU12" s="58">
        <v>0</v>
      </c>
      <c r="AV12" s="58">
        <v>0</v>
      </c>
      <c r="AW12" s="58">
        <v>0</v>
      </c>
      <c r="AX12" s="58">
        <v>0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  <c r="BD12" s="58">
        <v>0</v>
      </c>
      <c r="BE12" s="58">
        <v>0</v>
      </c>
      <c r="BF12" s="58">
        <v>0</v>
      </c>
      <c r="BG12" s="58">
        <v>0</v>
      </c>
      <c r="BH12" s="58">
        <v>0</v>
      </c>
      <c r="BI12" s="58">
        <v>0</v>
      </c>
      <c r="BJ12" s="58">
        <v>0</v>
      </c>
      <c r="BK12" s="58">
        <v>0</v>
      </c>
      <c r="BL12" s="58">
        <v>0</v>
      </c>
      <c r="BM12" s="58">
        <v>0</v>
      </c>
      <c r="BN12" s="58">
        <v>0</v>
      </c>
      <c r="BO12" s="58">
        <v>0</v>
      </c>
      <c r="BP12" s="58">
        <v>0</v>
      </c>
      <c r="BQ12" s="58">
        <v>0</v>
      </c>
      <c r="BR12" s="58">
        <v>0</v>
      </c>
      <c r="BS12" s="58">
        <v>0</v>
      </c>
      <c r="BT12" s="58">
        <v>0</v>
      </c>
      <c r="BU12" s="58">
        <v>0</v>
      </c>
      <c r="BV12" s="58">
        <v>0</v>
      </c>
      <c r="BW12" s="58">
        <v>0</v>
      </c>
      <c r="BX12" s="58">
        <v>0</v>
      </c>
      <c r="BY12" s="58">
        <v>0</v>
      </c>
      <c r="BZ12" s="58">
        <v>0</v>
      </c>
      <c r="CA12" s="58">
        <v>0</v>
      </c>
      <c r="CB12" s="58">
        <v>0</v>
      </c>
      <c r="CC12" s="58">
        <v>0</v>
      </c>
      <c r="CD12" s="58">
        <v>0</v>
      </c>
      <c r="CE12" s="58">
        <v>0</v>
      </c>
      <c r="CF12" s="58">
        <v>0</v>
      </c>
      <c r="CG12" s="58">
        <v>0</v>
      </c>
      <c r="CH12" s="58">
        <v>0</v>
      </c>
      <c r="CI12" s="58">
        <v>0</v>
      </c>
      <c r="CJ12" s="58">
        <v>0</v>
      </c>
      <c r="CK12" s="58">
        <v>0</v>
      </c>
      <c r="CL12" s="58">
        <v>0</v>
      </c>
      <c r="CM12" s="58">
        <v>0</v>
      </c>
      <c r="CN12" s="58">
        <v>0</v>
      </c>
      <c r="CO12" s="58">
        <v>0</v>
      </c>
    </row>
    <row r="13" spans="1:93" ht="14.4" x14ac:dyDescent="0.3">
      <c r="A13" s="56" t="s">
        <v>196</v>
      </c>
      <c r="B13" s="58">
        <v>0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  <c r="AI13" s="58">
        <v>0</v>
      </c>
      <c r="AJ13" s="58">
        <v>0</v>
      </c>
      <c r="AK13" s="58">
        <v>0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v>0</v>
      </c>
      <c r="BI13" s="58">
        <v>0</v>
      </c>
      <c r="BJ13" s="58">
        <v>0</v>
      </c>
      <c r="BK13" s="58">
        <v>0</v>
      </c>
      <c r="BL13" s="58">
        <v>0</v>
      </c>
      <c r="BM13" s="58">
        <v>0</v>
      </c>
      <c r="BN13" s="58">
        <v>0</v>
      </c>
      <c r="BO13" s="58">
        <v>0</v>
      </c>
      <c r="BP13" s="58">
        <v>0</v>
      </c>
      <c r="BQ13" s="58">
        <v>0</v>
      </c>
      <c r="BR13" s="58">
        <v>0</v>
      </c>
      <c r="BS13" s="58">
        <v>0</v>
      </c>
      <c r="BT13" s="58">
        <v>0</v>
      </c>
      <c r="BU13" s="58">
        <v>0</v>
      </c>
      <c r="BV13" s="58">
        <v>0</v>
      </c>
      <c r="BW13" s="58">
        <v>0</v>
      </c>
      <c r="BX13" s="58">
        <v>0</v>
      </c>
      <c r="BY13" s="58">
        <v>0</v>
      </c>
      <c r="BZ13" s="58">
        <v>0</v>
      </c>
      <c r="CA13" s="58">
        <v>0</v>
      </c>
      <c r="CB13" s="58">
        <v>0</v>
      </c>
      <c r="CC13" s="58">
        <v>0</v>
      </c>
      <c r="CD13" s="58">
        <v>0</v>
      </c>
      <c r="CE13" s="58">
        <v>0</v>
      </c>
      <c r="CF13" s="58">
        <v>0</v>
      </c>
      <c r="CG13" s="58">
        <v>0</v>
      </c>
      <c r="CH13" s="58">
        <v>0</v>
      </c>
      <c r="CI13" s="58">
        <v>0</v>
      </c>
      <c r="CJ13" s="58">
        <v>0</v>
      </c>
      <c r="CK13" s="58">
        <v>0</v>
      </c>
      <c r="CL13" s="58">
        <v>0</v>
      </c>
      <c r="CM13" s="58">
        <v>0</v>
      </c>
      <c r="CN13" s="58">
        <v>0</v>
      </c>
      <c r="CO13" s="58">
        <v>0</v>
      </c>
    </row>
    <row r="14" spans="1:93" ht="14.4" x14ac:dyDescent="0.3">
      <c r="A14" s="56" t="s">
        <v>169</v>
      </c>
    </row>
    <row r="15" spans="1:93" ht="14.4" x14ac:dyDescent="0.3">
      <c r="A15" s="56" t="s">
        <v>197</v>
      </c>
      <c r="B15" s="58">
        <v>25000</v>
      </c>
      <c r="C15" s="58">
        <v>25000</v>
      </c>
      <c r="D15" s="58">
        <v>25000</v>
      </c>
      <c r="E15" s="58">
        <v>25000</v>
      </c>
      <c r="F15" s="58">
        <v>25000</v>
      </c>
      <c r="G15" s="58">
        <v>25000</v>
      </c>
      <c r="H15" s="58">
        <v>25000</v>
      </c>
      <c r="I15" s="58">
        <v>25000</v>
      </c>
      <c r="J15" s="58">
        <v>25000</v>
      </c>
      <c r="K15" s="58">
        <v>25000</v>
      </c>
      <c r="L15" s="58">
        <v>25000</v>
      </c>
      <c r="M15" s="58">
        <v>25000</v>
      </c>
      <c r="N15" s="58">
        <v>300000</v>
      </c>
      <c r="O15" s="58">
        <v>25000</v>
      </c>
      <c r="P15" s="58">
        <v>25000</v>
      </c>
      <c r="Q15" s="58">
        <v>25000</v>
      </c>
      <c r="R15" s="58">
        <v>25000</v>
      </c>
      <c r="S15" s="58">
        <v>25000</v>
      </c>
      <c r="T15" s="58">
        <v>25000</v>
      </c>
      <c r="U15" s="58">
        <v>25000</v>
      </c>
      <c r="V15" s="58">
        <v>25000</v>
      </c>
      <c r="W15" s="58">
        <v>0</v>
      </c>
      <c r="X15" s="58">
        <v>0</v>
      </c>
      <c r="Y15" s="58">
        <v>0</v>
      </c>
      <c r="Z15" s="58">
        <v>0</v>
      </c>
      <c r="AA15" s="58">
        <v>200000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  <c r="AI15" s="58">
        <v>0</v>
      </c>
      <c r="AJ15" s="58">
        <v>0</v>
      </c>
      <c r="AK15" s="58">
        <v>0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58">
        <v>0</v>
      </c>
      <c r="AS15" s="58">
        <v>0</v>
      </c>
      <c r="AT15" s="58">
        <v>0</v>
      </c>
      <c r="AU15" s="58">
        <v>0</v>
      </c>
      <c r="AV15" s="58">
        <v>0</v>
      </c>
      <c r="AW15" s="58">
        <v>0</v>
      </c>
      <c r="AX15" s="58">
        <v>0</v>
      </c>
      <c r="AY15" s="58">
        <v>0</v>
      </c>
      <c r="AZ15" s="58">
        <v>0</v>
      </c>
      <c r="BA15" s="58">
        <v>0</v>
      </c>
      <c r="BB15" s="58">
        <v>0</v>
      </c>
      <c r="BC15" s="58">
        <v>0</v>
      </c>
      <c r="BD15" s="58">
        <v>0</v>
      </c>
      <c r="BE15" s="58">
        <v>0</v>
      </c>
      <c r="BF15" s="58">
        <v>0</v>
      </c>
      <c r="BG15" s="58">
        <v>0</v>
      </c>
      <c r="BH15" s="58">
        <v>0</v>
      </c>
      <c r="BI15" s="58">
        <v>0</v>
      </c>
      <c r="BJ15" s="58">
        <v>0</v>
      </c>
      <c r="BK15" s="58">
        <v>0</v>
      </c>
      <c r="BL15" s="58">
        <v>0</v>
      </c>
      <c r="BM15" s="58">
        <v>0</v>
      </c>
      <c r="BN15" s="58">
        <v>0</v>
      </c>
      <c r="BO15" s="58">
        <v>0</v>
      </c>
      <c r="BP15" s="58">
        <v>0</v>
      </c>
      <c r="BQ15" s="58">
        <v>0</v>
      </c>
      <c r="BR15" s="58">
        <v>0</v>
      </c>
      <c r="BS15" s="58">
        <v>0</v>
      </c>
      <c r="BT15" s="58">
        <v>0</v>
      </c>
      <c r="BU15" s="58">
        <v>0</v>
      </c>
      <c r="BV15" s="58">
        <v>0</v>
      </c>
      <c r="BW15" s="58">
        <v>0</v>
      </c>
      <c r="BX15" s="58">
        <v>0</v>
      </c>
      <c r="BY15" s="58">
        <v>0</v>
      </c>
      <c r="BZ15" s="58">
        <v>0</v>
      </c>
      <c r="CA15" s="58">
        <v>0</v>
      </c>
      <c r="CB15" s="58">
        <v>0</v>
      </c>
      <c r="CC15" s="58">
        <v>0</v>
      </c>
      <c r="CD15" s="58">
        <v>0</v>
      </c>
      <c r="CE15" s="58">
        <v>0</v>
      </c>
      <c r="CF15" s="58">
        <v>0</v>
      </c>
      <c r="CG15" s="58">
        <v>0</v>
      </c>
      <c r="CH15" s="58">
        <v>0</v>
      </c>
      <c r="CI15" s="58">
        <v>0</v>
      </c>
      <c r="CJ15" s="58">
        <v>0</v>
      </c>
      <c r="CK15" s="58">
        <v>0</v>
      </c>
      <c r="CL15" s="58">
        <v>0</v>
      </c>
      <c r="CM15" s="58">
        <v>0</v>
      </c>
      <c r="CN15" s="58">
        <v>0</v>
      </c>
      <c r="CO15" s="58">
        <v>500000</v>
      </c>
    </row>
    <row r="16" spans="1:93" ht="14.4" x14ac:dyDescent="0.3">
      <c r="A16" s="56" t="s">
        <v>198</v>
      </c>
      <c r="B16" s="58">
        <v>25000</v>
      </c>
      <c r="C16" s="58">
        <v>25000</v>
      </c>
      <c r="D16" s="58">
        <v>25000</v>
      </c>
      <c r="E16" s="58">
        <v>25000</v>
      </c>
      <c r="F16" s="58">
        <v>25000</v>
      </c>
      <c r="G16" s="58">
        <v>25000</v>
      </c>
      <c r="H16" s="58">
        <v>25000</v>
      </c>
      <c r="I16" s="58">
        <v>25000</v>
      </c>
      <c r="J16" s="58">
        <v>25000</v>
      </c>
      <c r="K16" s="58">
        <v>25000</v>
      </c>
      <c r="L16" s="58">
        <v>25000</v>
      </c>
      <c r="M16" s="58">
        <v>25000</v>
      </c>
      <c r="N16" s="58">
        <v>300000</v>
      </c>
      <c r="O16" s="58">
        <v>25000</v>
      </c>
      <c r="P16" s="58">
        <v>25000</v>
      </c>
      <c r="Q16" s="58">
        <v>25000</v>
      </c>
      <c r="R16" s="58">
        <v>25000</v>
      </c>
      <c r="S16" s="58">
        <v>25000</v>
      </c>
      <c r="T16" s="58">
        <v>25000</v>
      </c>
      <c r="U16" s="58">
        <v>25000</v>
      </c>
      <c r="V16" s="58">
        <v>25000</v>
      </c>
      <c r="W16" s="58">
        <v>0</v>
      </c>
      <c r="X16" s="58">
        <v>0</v>
      </c>
      <c r="Y16" s="58">
        <v>0</v>
      </c>
      <c r="Z16" s="58">
        <v>0</v>
      </c>
      <c r="AA16" s="58">
        <v>200000</v>
      </c>
      <c r="AB16" s="58">
        <v>0</v>
      </c>
      <c r="AC16" s="58">
        <v>0</v>
      </c>
      <c r="AD16" s="58">
        <v>0</v>
      </c>
      <c r="AE16" s="58">
        <v>0</v>
      </c>
      <c r="AF16" s="58">
        <v>0</v>
      </c>
      <c r="AG16" s="58">
        <v>0</v>
      </c>
      <c r="AH16" s="58">
        <v>0</v>
      </c>
      <c r="AI16" s="58">
        <v>0</v>
      </c>
      <c r="AJ16" s="58">
        <v>0</v>
      </c>
      <c r="AK16" s="58">
        <v>0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58">
        <v>0</v>
      </c>
      <c r="AS16" s="58">
        <v>0</v>
      </c>
      <c r="AT16" s="58">
        <v>0</v>
      </c>
      <c r="AU16" s="58">
        <v>0</v>
      </c>
      <c r="AV16" s="58">
        <v>0</v>
      </c>
      <c r="AW16" s="58">
        <v>0</v>
      </c>
      <c r="AX16" s="58">
        <v>0</v>
      </c>
      <c r="AY16" s="58">
        <v>0</v>
      </c>
      <c r="AZ16" s="58">
        <v>0</v>
      </c>
      <c r="BA16" s="58">
        <v>0</v>
      </c>
      <c r="BB16" s="58">
        <v>0</v>
      </c>
      <c r="BC16" s="58">
        <v>0</v>
      </c>
      <c r="BD16" s="58">
        <v>0</v>
      </c>
      <c r="BE16" s="58">
        <v>0</v>
      </c>
      <c r="BF16" s="58">
        <v>0</v>
      </c>
      <c r="BG16" s="58">
        <v>0</v>
      </c>
      <c r="BH16" s="58">
        <v>0</v>
      </c>
      <c r="BI16" s="58">
        <v>0</v>
      </c>
      <c r="BJ16" s="58">
        <v>0</v>
      </c>
      <c r="BK16" s="58">
        <v>0</v>
      </c>
      <c r="BL16" s="58">
        <v>0</v>
      </c>
      <c r="BM16" s="58">
        <v>0</v>
      </c>
      <c r="BN16" s="58">
        <v>0</v>
      </c>
      <c r="BO16" s="58">
        <v>0</v>
      </c>
      <c r="BP16" s="58">
        <v>0</v>
      </c>
      <c r="BQ16" s="58">
        <v>0</v>
      </c>
      <c r="BR16" s="58">
        <v>0</v>
      </c>
      <c r="BS16" s="58">
        <v>0</v>
      </c>
      <c r="BT16" s="58">
        <v>0</v>
      </c>
      <c r="BU16" s="58">
        <v>0</v>
      </c>
      <c r="BV16" s="58">
        <v>0</v>
      </c>
      <c r="BW16" s="58">
        <v>0</v>
      </c>
      <c r="BX16" s="58">
        <v>0</v>
      </c>
      <c r="BY16" s="58">
        <v>0</v>
      </c>
      <c r="BZ16" s="58">
        <v>0</v>
      </c>
      <c r="CA16" s="58">
        <v>0</v>
      </c>
      <c r="CB16" s="58">
        <v>0</v>
      </c>
      <c r="CC16" s="58">
        <v>0</v>
      </c>
      <c r="CD16" s="58">
        <v>0</v>
      </c>
      <c r="CE16" s="58">
        <v>0</v>
      </c>
      <c r="CF16" s="58">
        <v>0</v>
      </c>
      <c r="CG16" s="58">
        <v>0</v>
      </c>
      <c r="CH16" s="58">
        <v>0</v>
      </c>
      <c r="CI16" s="58">
        <v>0</v>
      </c>
      <c r="CJ16" s="58">
        <v>0</v>
      </c>
      <c r="CK16" s="58">
        <v>0</v>
      </c>
      <c r="CL16" s="58">
        <v>0</v>
      </c>
      <c r="CM16" s="58">
        <v>0</v>
      </c>
      <c r="CN16" s="58">
        <v>0</v>
      </c>
      <c r="CO16" s="58">
        <v>500000</v>
      </c>
    </row>
    <row r="17" spans="1:93" ht="14.4" x14ac:dyDescent="0.3">
      <c r="A17" s="56" t="s">
        <v>199</v>
      </c>
    </row>
    <row r="18" spans="1:93" ht="14.4" x14ac:dyDescent="0.3">
      <c r="A18" s="56" t="s">
        <v>200</v>
      </c>
      <c r="B18" s="58">
        <v>0</v>
      </c>
      <c r="C18" s="58">
        <v>0</v>
      </c>
      <c r="D18" s="58">
        <v>0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58">
        <v>0</v>
      </c>
      <c r="Z18" s="58">
        <v>0</v>
      </c>
      <c r="AA18" s="58">
        <v>0</v>
      </c>
      <c r="AB18" s="58">
        <v>0</v>
      </c>
      <c r="AC18" s="58">
        <v>0</v>
      </c>
      <c r="AD18" s="58">
        <v>0</v>
      </c>
      <c r="AE18" s="58">
        <v>0</v>
      </c>
      <c r="AF18" s="58">
        <v>0</v>
      </c>
      <c r="AG18" s="58">
        <v>0</v>
      </c>
      <c r="AH18" s="58">
        <v>0</v>
      </c>
      <c r="AI18" s="58">
        <v>0</v>
      </c>
      <c r="AJ18" s="58">
        <v>0</v>
      </c>
      <c r="AK18" s="58">
        <v>0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58">
        <v>0</v>
      </c>
      <c r="AS18" s="58">
        <v>0</v>
      </c>
      <c r="AT18" s="58">
        <v>0</v>
      </c>
      <c r="AU18" s="58">
        <v>0</v>
      </c>
      <c r="AV18" s="58">
        <v>0</v>
      </c>
      <c r="AW18" s="58">
        <v>0</v>
      </c>
      <c r="AX18" s="58">
        <v>0</v>
      </c>
      <c r="AY18" s="58">
        <v>0</v>
      </c>
      <c r="AZ18" s="58">
        <v>0</v>
      </c>
      <c r="BA18" s="58">
        <v>0</v>
      </c>
      <c r="BB18" s="58">
        <v>0</v>
      </c>
      <c r="BC18" s="58">
        <v>0</v>
      </c>
      <c r="BD18" s="58">
        <v>0</v>
      </c>
      <c r="BE18" s="58">
        <v>0</v>
      </c>
      <c r="BF18" s="58">
        <v>0</v>
      </c>
      <c r="BG18" s="58">
        <v>0</v>
      </c>
      <c r="BH18" s="58">
        <v>0</v>
      </c>
      <c r="BI18" s="58">
        <v>0</v>
      </c>
      <c r="BJ18" s="58">
        <v>0</v>
      </c>
      <c r="BK18" s="58">
        <v>0</v>
      </c>
      <c r="BL18" s="58">
        <v>0</v>
      </c>
      <c r="BM18" s="58">
        <v>0</v>
      </c>
      <c r="BN18" s="58">
        <v>0</v>
      </c>
      <c r="BO18" s="58">
        <v>0</v>
      </c>
      <c r="BP18" s="58">
        <v>0</v>
      </c>
      <c r="BQ18" s="58">
        <v>0</v>
      </c>
      <c r="BR18" s="58">
        <v>0</v>
      </c>
      <c r="BS18" s="58">
        <v>0</v>
      </c>
      <c r="BT18" s="58">
        <v>0</v>
      </c>
      <c r="BU18" s="58">
        <v>0</v>
      </c>
      <c r="BV18" s="58">
        <v>0</v>
      </c>
      <c r="BW18" s="58">
        <v>0</v>
      </c>
      <c r="BX18" s="58">
        <v>0</v>
      </c>
      <c r="BY18" s="58">
        <v>0</v>
      </c>
      <c r="BZ18" s="58">
        <v>0</v>
      </c>
      <c r="CA18" s="58">
        <v>0</v>
      </c>
      <c r="CB18" s="58">
        <v>0</v>
      </c>
      <c r="CC18" s="58">
        <v>0</v>
      </c>
      <c r="CD18" s="58">
        <v>0</v>
      </c>
      <c r="CE18" s="58">
        <v>0</v>
      </c>
      <c r="CF18" s="58">
        <v>0</v>
      </c>
      <c r="CG18" s="58">
        <v>0</v>
      </c>
      <c r="CH18" s="58">
        <v>0</v>
      </c>
      <c r="CI18" s="58">
        <v>0</v>
      </c>
      <c r="CJ18" s="58">
        <v>0</v>
      </c>
      <c r="CK18" s="58">
        <v>0</v>
      </c>
      <c r="CL18" s="58">
        <v>0</v>
      </c>
      <c r="CM18" s="58">
        <v>0</v>
      </c>
      <c r="CN18" s="58">
        <v>0</v>
      </c>
      <c r="CO18" s="58">
        <v>0</v>
      </c>
    </row>
    <row r="19" spans="1:93" ht="14.4" x14ac:dyDescent="0.3">
      <c r="A19" s="56" t="s">
        <v>201</v>
      </c>
      <c r="B19" s="58">
        <v>0</v>
      </c>
      <c r="C19" s="58">
        <v>0</v>
      </c>
      <c r="D19" s="58">
        <v>0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58">
        <v>0</v>
      </c>
      <c r="Z19" s="58">
        <v>0</v>
      </c>
      <c r="AA19" s="58">
        <v>0</v>
      </c>
      <c r="AB19" s="58">
        <v>0</v>
      </c>
      <c r="AC19" s="58">
        <v>0</v>
      </c>
      <c r="AD19" s="58">
        <v>0</v>
      </c>
      <c r="AE19" s="58">
        <v>0</v>
      </c>
      <c r="AF19" s="58">
        <v>0</v>
      </c>
      <c r="AG19" s="58">
        <v>0</v>
      </c>
      <c r="AH19" s="58">
        <v>0</v>
      </c>
      <c r="AI19" s="58">
        <v>0</v>
      </c>
      <c r="AJ19" s="58">
        <v>0</v>
      </c>
      <c r="AK19" s="58">
        <v>0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58">
        <v>0</v>
      </c>
      <c r="AS19" s="58">
        <v>0</v>
      </c>
      <c r="AT19" s="58">
        <v>0</v>
      </c>
      <c r="AU19" s="58">
        <v>0</v>
      </c>
      <c r="AV19" s="58">
        <v>0</v>
      </c>
      <c r="AW19" s="58">
        <v>0</v>
      </c>
      <c r="AX19" s="58">
        <v>0</v>
      </c>
      <c r="AY19" s="58">
        <v>0</v>
      </c>
      <c r="AZ19" s="58">
        <v>0</v>
      </c>
      <c r="BA19" s="58">
        <v>0</v>
      </c>
      <c r="BB19" s="58">
        <v>0</v>
      </c>
      <c r="BC19" s="58">
        <v>0</v>
      </c>
      <c r="BD19" s="58">
        <v>0</v>
      </c>
      <c r="BE19" s="58">
        <v>0</v>
      </c>
      <c r="BF19" s="58">
        <v>0</v>
      </c>
      <c r="BG19" s="58">
        <v>0</v>
      </c>
      <c r="BH19" s="58">
        <v>0</v>
      </c>
      <c r="BI19" s="58">
        <v>0</v>
      </c>
      <c r="BJ19" s="58">
        <v>0</v>
      </c>
      <c r="BK19" s="58">
        <v>0</v>
      </c>
      <c r="BL19" s="58">
        <v>0</v>
      </c>
      <c r="BM19" s="58">
        <v>0</v>
      </c>
      <c r="BN19" s="58">
        <v>0</v>
      </c>
      <c r="BO19" s="58">
        <v>0</v>
      </c>
      <c r="BP19" s="58">
        <v>0</v>
      </c>
      <c r="BQ19" s="58">
        <v>0</v>
      </c>
      <c r="BR19" s="58">
        <v>0</v>
      </c>
      <c r="BS19" s="58">
        <v>0</v>
      </c>
      <c r="BT19" s="58">
        <v>0</v>
      </c>
      <c r="BU19" s="58">
        <v>0</v>
      </c>
      <c r="BV19" s="58">
        <v>0</v>
      </c>
      <c r="BW19" s="58">
        <v>0</v>
      </c>
      <c r="BX19" s="58">
        <v>0</v>
      </c>
      <c r="BY19" s="58">
        <v>0</v>
      </c>
      <c r="BZ19" s="58">
        <v>0</v>
      </c>
      <c r="CA19" s="58">
        <v>0</v>
      </c>
      <c r="CB19" s="58">
        <v>0</v>
      </c>
      <c r="CC19" s="58">
        <v>0</v>
      </c>
      <c r="CD19" s="58">
        <v>0</v>
      </c>
      <c r="CE19" s="58">
        <v>0</v>
      </c>
      <c r="CF19" s="58">
        <v>0</v>
      </c>
      <c r="CG19" s="58">
        <v>0</v>
      </c>
      <c r="CH19" s="58">
        <v>0</v>
      </c>
      <c r="CI19" s="58">
        <v>0</v>
      </c>
      <c r="CJ19" s="58">
        <v>0</v>
      </c>
      <c r="CK19" s="58">
        <v>0</v>
      </c>
      <c r="CL19" s="58">
        <v>0</v>
      </c>
      <c r="CM19" s="58">
        <v>0</v>
      </c>
      <c r="CN19" s="58">
        <v>0</v>
      </c>
      <c r="CO19" s="58">
        <v>0</v>
      </c>
    </row>
    <row r="20" spans="1:93" ht="14.4" x14ac:dyDescent="0.3">
      <c r="A20" s="56" t="s">
        <v>202</v>
      </c>
      <c r="B20" s="58">
        <v>208.95</v>
      </c>
      <c r="C20" s="58">
        <v>626.85</v>
      </c>
      <c r="D20" s="58">
        <v>1046.8399999999999</v>
      </c>
      <c r="E20" s="58">
        <v>1465.58</v>
      </c>
      <c r="F20" s="58">
        <v>1890.58</v>
      </c>
      <c r="G20" s="58">
        <v>2306.39</v>
      </c>
      <c r="H20" s="58">
        <v>2721.37</v>
      </c>
      <c r="I20" s="58">
        <v>3129.65</v>
      </c>
      <c r="J20" s="58">
        <v>3536.69</v>
      </c>
      <c r="K20" s="58">
        <v>3961.27</v>
      </c>
      <c r="L20" s="58">
        <v>4397.1400000000003</v>
      </c>
      <c r="M20" s="58">
        <v>4836.7700000000004</v>
      </c>
      <c r="N20" s="58">
        <v>30128.080000000002</v>
      </c>
      <c r="O20" s="58">
        <v>3217.38</v>
      </c>
      <c r="P20" s="58">
        <v>12320.86</v>
      </c>
      <c r="Q20" s="58">
        <v>14483.94</v>
      </c>
      <c r="R20" s="58">
        <v>16639.66</v>
      </c>
      <c r="S20" s="58">
        <v>18724.95</v>
      </c>
      <c r="T20" s="58">
        <v>20798.3</v>
      </c>
      <c r="U20" s="58">
        <v>22864.26</v>
      </c>
      <c r="V20" s="58">
        <v>24845.85</v>
      </c>
      <c r="W20" s="58">
        <v>26816.16</v>
      </c>
      <c r="X20" s="58">
        <v>28774.52</v>
      </c>
      <c r="Y20" s="58">
        <v>30723.63</v>
      </c>
      <c r="Z20" s="58">
        <v>32570.35</v>
      </c>
      <c r="AA20" s="58">
        <v>252779.86</v>
      </c>
      <c r="AB20" s="58">
        <v>29748.69</v>
      </c>
      <c r="AC20" s="58">
        <v>31592.7</v>
      </c>
      <c r="AD20" s="58">
        <v>30485.77</v>
      </c>
      <c r="AE20" s="58">
        <v>32308.94</v>
      </c>
      <c r="AF20" s="58">
        <v>34121.08</v>
      </c>
      <c r="AG20" s="58">
        <v>35925.47</v>
      </c>
      <c r="AH20" s="58">
        <v>37596.32</v>
      </c>
      <c r="AI20" s="58">
        <v>39253.81</v>
      </c>
      <c r="AJ20" s="58">
        <v>40897.32</v>
      </c>
      <c r="AK20" s="58">
        <v>42526.35</v>
      </c>
      <c r="AL20" s="58">
        <v>44143.26</v>
      </c>
      <c r="AM20" s="58">
        <v>45749.36</v>
      </c>
      <c r="AN20" s="58">
        <v>444349.07</v>
      </c>
      <c r="AO20" s="58">
        <v>44933.32</v>
      </c>
      <c r="AP20" s="58">
        <v>46443.13</v>
      </c>
      <c r="AQ20" s="58">
        <v>46163.86</v>
      </c>
      <c r="AR20" s="58">
        <v>47914.39</v>
      </c>
      <c r="AS20" s="58">
        <v>49669.52</v>
      </c>
      <c r="AT20" s="58">
        <v>51429.95</v>
      </c>
      <c r="AU20" s="58">
        <v>53196.58</v>
      </c>
      <c r="AV20" s="58">
        <v>54969.7</v>
      </c>
      <c r="AW20" s="58">
        <v>56754.46</v>
      </c>
      <c r="AX20" s="58">
        <v>58551.12</v>
      </c>
      <c r="AY20" s="58">
        <v>58546.69</v>
      </c>
      <c r="AZ20" s="58">
        <v>60371.89</v>
      </c>
      <c r="BA20" s="58">
        <v>628944.61</v>
      </c>
      <c r="BB20" s="58">
        <v>39278.300000000003</v>
      </c>
      <c r="BC20" s="58">
        <v>30203.43</v>
      </c>
      <c r="BD20" s="58">
        <v>31024.560000000001</v>
      </c>
      <c r="BE20" s="58">
        <v>31830.14</v>
      </c>
      <c r="BF20" s="58">
        <v>32619.73</v>
      </c>
      <c r="BG20" s="58">
        <v>33393.800000000003</v>
      </c>
      <c r="BH20" s="58">
        <v>34151.870000000003</v>
      </c>
      <c r="BI20" s="58">
        <v>34893.919999999998</v>
      </c>
      <c r="BJ20" s="58">
        <v>35622.67</v>
      </c>
      <c r="BK20" s="58">
        <v>36335.89</v>
      </c>
      <c r="BL20" s="58">
        <v>35159.589999999997</v>
      </c>
      <c r="BM20" s="58">
        <v>43084.56</v>
      </c>
      <c r="BN20" s="58">
        <v>417598.46</v>
      </c>
      <c r="BO20" s="58">
        <v>41331.46</v>
      </c>
      <c r="BP20" s="58">
        <v>42057.06</v>
      </c>
      <c r="BQ20" s="58">
        <v>42768.1</v>
      </c>
      <c r="BR20" s="58">
        <v>43464.61</v>
      </c>
      <c r="BS20" s="58">
        <v>44145.55</v>
      </c>
      <c r="BT20" s="58">
        <v>44814.37</v>
      </c>
      <c r="BU20" s="58">
        <v>45470.58</v>
      </c>
      <c r="BV20" s="58">
        <v>46112.23</v>
      </c>
      <c r="BW20" s="58">
        <v>46741.23</v>
      </c>
      <c r="BX20" s="58">
        <v>47357.63</v>
      </c>
      <c r="BY20" s="58">
        <v>47961.9</v>
      </c>
      <c r="BZ20" s="58">
        <v>48553.56</v>
      </c>
      <c r="CA20" s="58">
        <v>540778.28</v>
      </c>
      <c r="CB20" s="58">
        <v>45497.13</v>
      </c>
      <c r="CC20" s="58">
        <v>46071.45</v>
      </c>
      <c r="CD20" s="58">
        <v>46632.65</v>
      </c>
      <c r="CE20" s="58">
        <v>47184.65</v>
      </c>
      <c r="CF20" s="58">
        <v>47723.519999999997</v>
      </c>
      <c r="CG20" s="58">
        <v>48252.7</v>
      </c>
      <c r="CH20" s="58">
        <v>48771.199999999997</v>
      </c>
      <c r="CI20" s="58">
        <v>49280.46</v>
      </c>
      <c r="CJ20" s="58">
        <v>47964.82</v>
      </c>
      <c r="CK20" s="58">
        <v>47329.23</v>
      </c>
      <c r="CL20" s="58">
        <v>47807.92</v>
      </c>
      <c r="CM20" s="58">
        <v>48276.88</v>
      </c>
      <c r="CN20" s="58">
        <v>570792.61</v>
      </c>
      <c r="CO20" s="58">
        <v>2885370.97</v>
      </c>
    </row>
    <row r="21" spans="1:93" ht="15.75" customHeight="1" x14ac:dyDescent="0.3">
      <c r="A21" s="56" t="s">
        <v>203</v>
      </c>
      <c r="B21" s="58">
        <v>208.95</v>
      </c>
      <c r="C21" s="58">
        <v>626.85</v>
      </c>
      <c r="D21" s="58">
        <v>1046.8399999999999</v>
      </c>
      <c r="E21" s="58">
        <v>1465.58</v>
      </c>
      <c r="F21" s="58">
        <v>1890.58</v>
      </c>
      <c r="G21" s="58">
        <v>2306.39</v>
      </c>
      <c r="H21" s="58">
        <v>2721.37</v>
      </c>
      <c r="I21" s="58">
        <v>3129.65</v>
      </c>
      <c r="J21" s="58">
        <v>3536.69</v>
      </c>
      <c r="K21" s="58">
        <v>3961.27</v>
      </c>
      <c r="L21" s="58">
        <v>4397.1400000000003</v>
      </c>
      <c r="M21" s="58">
        <v>4836.7700000000004</v>
      </c>
      <c r="N21" s="58">
        <v>30128.080000000002</v>
      </c>
      <c r="O21" s="58">
        <v>5272.23</v>
      </c>
      <c r="P21" s="58">
        <v>5693.89</v>
      </c>
      <c r="Q21" s="58">
        <v>6092.56</v>
      </c>
      <c r="R21" s="58">
        <v>6519.24</v>
      </c>
      <c r="S21" s="58">
        <v>6910.39</v>
      </c>
      <c r="T21" s="58">
        <v>7324.95</v>
      </c>
      <c r="U21" s="58">
        <v>7764.58</v>
      </c>
      <c r="V21" s="58">
        <v>8152.81</v>
      </c>
      <c r="W21" s="58">
        <v>8560.26</v>
      </c>
      <c r="X21" s="58">
        <v>8988.19</v>
      </c>
      <c r="Y21" s="58">
        <v>9437.44</v>
      </c>
      <c r="Z21" s="58">
        <v>9814.7999999999993</v>
      </c>
      <c r="AA21" s="58">
        <v>90531.34</v>
      </c>
      <c r="AB21" s="58">
        <v>10207.209999999999</v>
      </c>
      <c r="AC21" s="58">
        <v>10615.5</v>
      </c>
      <c r="AD21" s="58">
        <v>11040.08</v>
      </c>
      <c r="AE21" s="58">
        <v>11481.8</v>
      </c>
      <c r="AF21" s="58">
        <v>11941.07</v>
      </c>
      <c r="AG21" s="58">
        <v>12418.73</v>
      </c>
      <c r="AH21" s="58">
        <v>12791.5</v>
      </c>
      <c r="AI21" s="58">
        <v>13175.13</v>
      </c>
      <c r="AJ21" s="58">
        <v>13570.47</v>
      </c>
      <c r="AK21" s="58">
        <v>13977.5</v>
      </c>
      <c r="AL21" s="58">
        <v>14396.66</v>
      </c>
      <c r="AM21" s="58">
        <v>14828.76</v>
      </c>
      <c r="AN21" s="58">
        <v>150444.41</v>
      </c>
      <c r="AO21" s="58">
        <v>15273.83</v>
      </c>
      <c r="AP21" s="58">
        <v>15731.85</v>
      </c>
      <c r="AQ21" s="58">
        <v>16203.65</v>
      </c>
      <c r="AR21" s="58">
        <v>16851.82</v>
      </c>
      <c r="AS21" s="58">
        <v>17525.89</v>
      </c>
      <c r="AT21" s="58">
        <v>18227.13</v>
      </c>
      <c r="AU21" s="58">
        <v>18956.36</v>
      </c>
      <c r="AV21" s="58">
        <v>19714.43</v>
      </c>
      <c r="AW21" s="58">
        <v>20503.009999999998</v>
      </c>
      <c r="AX21" s="58">
        <v>21322.93</v>
      </c>
      <c r="AY21" s="58">
        <v>22175.86</v>
      </c>
      <c r="AZ21" s="58">
        <v>23063.07</v>
      </c>
      <c r="BA21" s="58">
        <v>225549.83</v>
      </c>
      <c r="BB21" s="58">
        <v>3346.34</v>
      </c>
      <c r="BC21" s="58">
        <v>0</v>
      </c>
      <c r="BD21" s="58">
        <v>0</v>
      </c>
      <c r="BE21" s="58">
        <v>0</v>
      </c>
      <c r="BF21" s="58">
        <v>0</v>
      </c>
      <c r="BG21" s="58">
        <v>0</v>
      </c>
      <c r="BH21" s="58">
        <v>0</v>
      </c>
      <c r="BI21" s="58">
        <v>0</v>
      </c>
      <c r="BJ21" s="58">
        <v>0</v>
      </c>
      <c r="BK21" s="58">
        <v>0</v>
      </c>
      <c r="BL21" s="58">
        <v>0</v>
      </c>
      <c r="BM21" s="58">
        <v>0</v>
      </c>
      <c r="BN21" s="58">
        <v>3346.34</v>
      </c>
      <c r="BO21" s="58">
        <v>0</v>
      </c>
      <c r="BP21" s="58">
        <v>0</v>
      </c>
      <c r="BQ21" s="58">
        <v>0</v>
      </c>
      <c r="BR21" s="58">
        <v>0</v>
      </c>
      <c r="BS21" s="58">
        <v>0</v>
      </c>
      <c r="BT21" s="58">
        <v>0</v>
      </c>
      <c r="BU21" s="58">
        <v>0</v>
      </c>
      <c r="BV21" s="58">
        <v>0</v>
      </c>
      <c r="BW21" s="58">
        <v>0</v>
      </c>
      <c r="BX21" s="58">
        <v>0</v>
      </c>
      <c r="BY21" s="58">
        <v>0</v>
      </c>
      <c r="BZ21" s="58">
        <v>0</v>
      </c>
      <c r="CA21" s="58">
        <v>0</v>
      </c>
      <c r="CB21" s="58">
        <v>0</v>
      </c>
      <c r="CC21" s="58">
        <v>0</v>
      </c>
      <c r="CD21" s="58">
        <v>0</v>
      </c>
      <c r="CE21" s="58">
        <v>0</v>
      </c>
      <c r="CF21" s="58">
        <v>0</v>
      </c>
      <c r="CG21" s="58">
        <v>0</v>
      </c>
      <c r="CH21" s="58">
        <v>0</v>
      </c>
      <c r="CI21" s="58">
        <v>0</v>
      </c>
      <c r="CJ21" s="58">
        <v>0</v>
      </c>
      <c r="CK21" s="58">
        <v>0</v>
      </c>
      <c r="CL21" s="58">
        <v>0</v>
      </c>
      <c r="CM21" s="58">
        <v>0</v>
      </c>
      <c r="CN21" s="58">
        <v>0</v>
      </c>
      <c r="CO21" s="58">
        <v>500000</v>
      </c>
    </row>
    <row r="22" spans="1:93" ht="15.75" customHeight="1" x14ac:dyDescent="0.3">
      <c r="A22" s="56" t="s">
        <v>204</v>
      </c>
      <c r="B22" s="58">
        <v>0</v>
      </c>
      <c r="C22" s="58">
        <v>0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-2054.85</v>
      </c>
      <c r="P22" s="58">
        <v>6626.97</v>
      </c>
      <c r="Q22" s="58">
        <v>8391.3799999999992</v>
      </c>
      <c r="R22" s="58">
        <v>10120.42</v>
      </c>
      <c r="S22" s="58">
        <v>11814.56</v>
      </c>
      <c r="T22" s="58">
        <v>13473.35</v>
      </c>
      <c r="U22" s="58">
        <v>15099.68</v>
      </c>
      <c r="V22" s="58">
        <v>16693.04</v>
      </c>
      <c r="W22" s="58">
        <v>18255.900000000001</v>
      </c>
      <c r="X22" s="58">
        <v>19786.330000000002</v>
      </c>
      <c r="Y22" s="58">
        <v>21286.19</v>
      </c>
      <c r="Z22" s="58">
        <v>22755.55</v>
      </c>
      <c r="AA22" s="58">
        <v>162248.51999999999</v>
      </c>
      <c r="AB22" s="58">
        <v>19541.48</v>
      </c>
      <c r="AC22" s="58">
        <v>20977.200000000001</v>
      </c>
      <c r="AD22" s="58">
        <v>19445.689999999999</v>
      </c>
      <c r="AE22" s="58">
        <v>20827.14</v>
      </c>
      <c r="AF22" s="58">
        <v>22180.01</v>
      </c>
      <c r="AG22" s="58">
        <v>23506.74</v>
      </c>
      <c r="AH22" s="58">
        <v>24804.82</v>
      </c>
      <c r="AI22" s="58">
        <v>26078.68</v>
      </c>
      <c r="AJ22" s="58">
        <v>27326.85</v>
      </c>
      <c r="AK22" s="58">
        <v>28548.85</v>
      </c>
      <c r="AL22" s="58">
        <v>29746.6</v>
      </c>
      <c r="AM22" s="58">
        <v>30920.6</v>
      </c>
      <c r="AN22" s="58">
        <v>293904.65999999997</v>
      </c>
      <c r="AO22" s="58">
        <v>29659.49</v>
      </c>
      <c r="AP22" s="58">
        <v>30711.279999999999</v>
      </c>
      <c r="AQ22" s="58">
        <v>29960.21</v>
      </c>
      <c r="AR22" s="58">
        <v>31062.57</v>
      </c>
      <c r="AS22" s="58">
        <v>32143.63</v>
      </c>
      <c r="AT22" s="58">
        <v>33202.82</v>
      </c>
      <c r="AU22" s="58">
        <v>34240.22</v>
      </c>
      <c r="AV22" s="58">
        <v>35255.269999999997</v>
      </c>
      <c r="AW22" s="58">
        <v>36251.449999999997</v>
      </c>
      <c r="AX22" s="58">
        <v>37228.19</v>
      </c>
      <c r="AY22" s="58">
        <v>36370.83</v>
      </c>
      <c r="AZ22" s="58">
        <v>37308.82</v>
      </c>
      <c r="BA22" s="58">
        <v>403394.78</v>
      </c>
      <c r="BB22" s="58">
        <v>35931.96</v>
      </c>
      <c r="BC22" s="58">
        <v>30203.43</v>
      </c>
      <c r="BD22" s="58">
        <v>31024.560000000001</v>
      </c>
      <c r="BE22" s="58">
        <v>31830.14</v>
      </c>
      <c r="BF22" s="58">
        <v>32619.73</v>
      </c>
      <c r="BG22" s="58">
        <v>33393.800000000003</v>
      </c>
      <c r="BH22" s="58">
        <v>34151.870000000003</v>
      </c>
      <c r="BI22" s="58">
        <v>34893.919999999998</v>
      </c>
      <c r="BJ22" s="58">
        <v>35622.67</v>
      </c>
      <c r="BK22" s="58">
        <v>36335.89</v>
      </c>
      <c r="BL22" s="58">
        <v>35159.589999999997</v>
      </c>
      <c r="BM22" s="58">
        <v>43084.56</v>
      </c>
      <c r="BN22" s="58">
        <v>414252.12</v>
      </c>
      <c r="BO22" s="58">
        <v>41331.46</v>
      </c>
      <c r="BP22" s="58">
        <v>42057.06</v>
      </c>
      <c r="BQ22" s="58">
        <v>42768.1</v>
      </c>
      <c r="BR22" s="58">
        <v>43464.61</v>
      </c>
      <c r="BS22" s="58">
        <v>44145.55</v>
      </c>
      <c r="BT22" s="58">
        <v>44814.37</v>
      </c>
      <c r="BU22" s="58">
        <v>45470.58</v>
      </c>
      <c r="BV22" s="58">
        <v>46112.23</v>
      </c>
      <c r="BW22" s="58">
        <v>46741.23</v>
      </c>
      <c r="BX22" s="58">
        <v>47357.63</v>
      </c>
      <c r="BY22" s="58">
        <v>47961.9</v>
      </c>
      <c r="BZ22" s="58">
        <v>48553.56</v>
      </c>
      <c r="CA22" s="58">
        <v>540778.28</v>
      </c>
      <c r="CB22" s="58">
        <v>45497.13</v>
      </c>
      <c r="CC22" s="58">
        <v>46071.45</v>
      </c>
      <c r="CD22" s="58">
        <v>46632.65</v>
      </c>
      <c r="CE22" s="58">
        <v>47184.65</v>
      </c>
      <c r="CF22" s="58">
        <v>47723.519999999997</v>
      </c>
      <c r="CG22" s="58">
        <v>48252.7</v>
      </c>
      <c r="CH22" s="58">
        <v>48771.199999999997</v>
      </c>
      <c r="CI22" s="58">
        <v>49280.46</v>
      </c>
      <c r="CJ22" s="58">
        <v>47964.82</v>
      </c>
      <c r="CK22" s="58">
        <v>47329.23</v>
      </c>
      <c r="CL22" s="58">
        <v>47807.92</v>
      </c>
      <c r="CM22" s="58">
        <v>48276.88</v>
      </c>
      <c r="CN22" s="58">
        <v>570792.61</v>
      </c>
      <c r="CO22" s="58">
        <v>2385370.9700000002</v>
      </c>
    </row>
    <row r="23" spans="1:93" ht="15.75" customHeight="1" x14ac:dyDescent="0.3">
      <c r="A23" s="56" t="s">
        <v>205</v>
      </c>
      <c r="B23" s="58">
        <v>24791.05</v>
      </c>
      <c r="C23" s="58">
        <v>24373.15</v>
      </c>
      <c r="D23" s="58">
        <v>23953.16</v>
      </c>
      <c r="E23" s="58">
        <v>23534.42</v>
      </c>
      <c r="F23" s="58">
        <v>23109.42</v>
      </c>
      <c r="G23" s="58">
        <v>22693.61</v>
      </c>
      <c r="H23" s="58">
        <v>22278.63</v>
      </c>
      <c r="I23" s="58">
        <v>21870.35</v>
      </c>
      <c r="J23" s="58">
        <v>21463.31</v>
      </c>
      <c r="K23" s="58">
        <v>21038.73</v>
      </c>
      <c r="L23" s="58">
        <v>20602.86</v>
      </c>
      <c r="M23" s="58">
        <v>20163.23</v>
      </c>
      <c r="N23" s="58">
        <v>269871.92</v>
      </c>
      <c r="O23" s="58">
        <v>21782.62</v>
      </c>
      <c r="P23" s="58">
        <v>12679.14</v>
      </c>
      <c r="Q23" s="58">
        <v>10516.06</v>
      </c>
      <c r="R23" s="58">
        <v>8360.34</v>
      </c>
      <c r="S23" s="58">
        <v>6275.05</v>
      </c>
      <c r="T23" s="58">
        <v>4201.7</v>
      </c>
      <c r="U23" s="58">
        <v>2135.7399999999998</v>
      </c>
      <c r="V23" s="58">
        <v>154.15</v>
      </c>
      <c r="W23" s="58">
        <v>-26816.16</v>
      </c>
      <c r="X23" s="58">
        <v>-28774.52</v>
      </c>
      <c r="Y23" s="58">
        <v>-30723.63</v>
      </c>
      <c r="Z23" s="58">
        <v>-32570.35</v>
      </c>
      <c r="AA23" s="58">
        <v>-52779.86</v>
      </c>
      <c r="AB23" s="58">
        <v>-29748.69</v>
      </c>
      <c r="AC23" s="58">
        <v>-31592.7</v>
      </c>
      <c r="AD23" s="58">
        <v>-30485.77</v>
      </c>
      <c r="AE23" s="58">
        <v>-32308.94</v>
      </c>
      <c r="AF23" s="58">
        <v>-34121.08</v>
      </c>
      <c r="AG23" s="58">
        <v>-35925.47</v>
      </c>
      <c r="AH23" s="58">
        <v>-37596.32</v>
      </c>
      <c r="AI23" s="58">
        <v>-39253.81</v>
      </c>
      <c r="AJ23" s="58">
        <v>-40897.32</v>
      </c>
      <c r="AK23" s="58">
        <v>-42526.35</v>
      </c>
      <c r="AL23" s="58">
        <v>-44143.26</v>
      </c>
      <c r="AM23" s="58">
        <v>-45749.36</v>
      </c>
      <c r="AN23" s="58">
        <v>-444349.07</v>
      </c>
      <c r="AO23" s="58">
        <v>-44933.32</v>
      </c>
      <c r="AP23" s="58">
        <v>-46443.13</v>
      </c>
      <c r="AQ23" s="58">
        <v>-46163.86</v>
      </c>
      <c r="AR23" s="58">
        <v>-47914.39</v>
      </c>
      <c r="AS23" s="58">
        <v>-49669.52</v>
      </c>
      <c r="AT23" s="58">
        <v>-51429.95</v>
      </c>
      <c r="AU23" s="58">
        <v>-53196.58</v>
      </c>
      <c r="AV23" s="58">
        <v>-54969.7</v>
      </c>
      <c r="AW23" s="58">
        <v>-56754.46</v>
      </c>
      <c r="AX23" s="58">
        <v>-58551.12</v>
      </c>
      <c r="AY23" s="58">
        <v>-58546.69</v>
      </c>
      <c r="AZ23" s="58">
        <v>-60371.89</v>
      </c>
      <c r="BA23" s="58">
        <v>-628944.61</v>
      </c>
      <c r="BB23" s="58">
        <v>-39278.300000000003</v>
      </c>
      <c r="BC23" s="58">
        <v>-30203.43</v>
      </c>
      <c r="BD23" s="58">
        <v>-31024.560000000001</v>
      </c>
      <c r="BE23" s="58">
        <v>-31830.14</v>
      </c>
      <c r="BF23" s="58">
        <v>-32619.73</v>
      </c>
      <c r="BG23" s="58">
        <v>-33393.800000000003</v>
      </c>
      <c r="BH23" s="58">
        <v>-34151.870000000003</v>
      </c>
      <c r="BI23" s="58">
        <v>-34893.919999999998</v>
      </c>
      <c r="BJ23" s="58">
        <v>-35622.67</v>
      </c>
      <c r="BK23" s="58">
        <v>-36335.89</v>
      </c>
      <c r="BL23" s="58">
        <v>-35159.589999999997</v>
      </c>
      <c r="BM23" s="58">
        <v>-43084.56</v>
      </c>
      <c r="BN23" s="58">
        <v>-417598.46</v>
      </c>
      <c r="BO23" s="58">
        <v>-41331.46</v>
      </c>
      <c r="BP23" s="58">
        <v>-42057.06</v>
      </c>
      <c r="BQ23" s="58">
        <v>-42768.1</v>
      </c>
      <c r="BR23" s="58">
        <v>-43464.61</v>
      </c>
      <c r="BS23" s="58">
        <v>-44145.55</v>
      </c>
      <c r="BT23" s="58">
        <v>-44814.37</v>
      </c>
      <c r="BU23" s="58">
        <v>-45470.58</v>
      </c>
      <c r="BV23" s="58">
        <v>-46112.23</v>
      </c>
      <c r="BW23" s="58">
        <v>-46741.23</v>
      </c>
      <c r="BX23" s="58">
        <v>-47357.63</v>
      </c>
      <c r="BY23" s="58">
        <v>-47961.9</v>
      </c>
      <c r="BZ23" s="58">
        <v>-48553.56</v>
      </c>
      <c r="CA23" s="58">
        <v>-540778.28</v>
      </c>
      <c r="CB23" s="58">
        <v>-45497.13</v>
      </c>
      <c r="CC23" s="58">
        <v>-46071.45</v>
      </c>
      <c r="CD23" s="58">
        <v>-46632.65</v>
      </c>
      <c r="CE23" s="58">
        <v>-47184.65</v>
      </c>
      <c r="CF23" s="58">
        <v>-47723.519999999997</v>
      </c>
      <c r="CG23" s="58">
        <v>-48252.7</v>
      </c>
      <c r="CH23" s="58">
        <v>-48771.199999999997</v>
      </c>
      <c r="CI23" s="58">
        <v>-49280.46</v>
      </c>
      <c r="CJ23" s="58">
        <v>-47964.82</v>
      </c>
      <c r="CK23" s="58">
        <v>-47329.23</v>
      </c>
      <c r="CL23" s="58">
        <v>-47807.92</v>
      </c>
      <c r="CM23" s="58">
        <v>-48276.88</v>
      </c>
      <c r="CN23" s="58">
        <v>-570792.61</v>
      </c>
      <c r="CO23" s="58">
        <v>-2385370.9700000002</v>
      </c>
    </row>
    <row r="24" spans="1:93" ht="15.75" customHeight="1" x14ac:dyDescent="0.3">
      <c r="A24" s="56" t="s">
        <v>169</v>
      </c>
    </row>
    <row r="25" spans="1:93" ht="15.75" customHeight="1" x14ac:dyDescent="0.3">
      <c r="A25" s="56" t="s">
        <v>206</v>
      </c>
    </row>
    <row r="26" spans="1:93" ht="15.75" customHeight="1" x14ac:dyDescent="0.3">
      <c r="A26" s="56" t="s">
        <v>207</v>
      </c>
      <c r="B26" s="58">
        <v>0</v>
      </c>
      <c r="C26" s="58">
        <v>7291.33</v>
      </c>
      <c r="D26" s="58">
        <v>13003.46</v>
      </c>
      <c r="E26" s="58">
        <v>23857.83</v>
      </c>
      <c r="F26" s="58">
        <v>39747.660000000003</v>
      </c>
      <c r="G26" s="58">
        <v>60044.1</v>
      </c>
      <c r="H26" s="58">
        <v>84087.16</v>
      </c>
      <c r="I26" s="58">
        <v>110727.89</v>
      </c>
      <c r="J26" s="58">
        <v>140890.26999999999</v>
      </c>
      <c r="K26" s="58">
        <v>174500.68</v>
      </c>
      <c r="L26" s="58">
        <v>211463.18</v>
      </c>
      <c r="M26" s="58">
        <v>251688.55</v>
      </c>
      <c r="N26" s="58">
        <v>0</v>
      </c>
      <c r="O26" s="58">
        <v>295103.06</v>
      </c>
      <c r="P26" s="58">
        <v>328895.65999999997</v>
      </c>
      <c r="Q26" s="58">
        <v>357266.92</v>
      </c>
      <c r="R26" s="58">
        <v>386954.62</v>
      </c>
      <c r="S26" s="58">
        <v>417895.89</v>
      </c>
      <c r="T26" s="58">
        <v>450090.91</v>
      </c>
      <c r="U26" s="58">
        <v>483481.45</v>
      </c>
      <c r="V26" s="58">
        <v>518012.58</v>
      </c>
      <c r="W26" s="58">
        <v>553703.32999999996</v>
      </c>
      <c r="X26" s="58">
        <v>565507.04</v>
      </c>
      <c r="Y26" s="58">
        <v>578367.18999999994</v>
      </c>
      <c r="Z26" s="58">
        <v>592235.57999999996</v>
      </c>
      <c r="AA26" s="58">
        <v>295103.06</v>
      </c>
      <c r="AB26" s="58">
        <v>607153.61</v>
      </c>
      <c r="AC26" s="58">
        <v>617600.55000000005</v>
      </c>
      <c r="AD26" s="58">
        <v>629836.63</v>
      </c>
      <c r="AE26" s="58">
        <v>640517.69999999995</v>
      </c>
      <c r="AF26" s="58">
        <v>651664.93000000005</v>
      </c>
      <c r="AG26" s="58">
        <v>663667.06000000006</v>
      </c>
      <c r="AH26" s="58">
        <v>676482.64</v>
      </c>
      <c r="AI26" s="58">
        <v>690184.91</v>
      </c>
      <c r="AJ26" s="58">
        <v>704745.46</v>
      </c>
      <c r="AK26" s="58">
        <v>720122.84</v>
      </c>
      <c r="AL26" s="58">
        <v>736279.67</v>
      </c>
      <c r="AM26" s="58">
        <v>753183.24</v>
      </c>
      <c r="AN26" s="58">
        <v>607153.61</v>
      </c>
      <c r="AO26" s="58">
        <v>770796.33</v>
      </c>
      <c r="AP26" s="58">
        <v>785475.74</v>
      </c>
      <c r="AQ26" s="58">
        <v>801993.97</v>
      </c>
      <c r="AR26" s="58">
        <v>817161.9</v>
      </c>
      <c r="AS26" s="58">
        <v>832755.82</v>
      </c>
      <c r="AT26" s="58">
        <v>848727.48</v>
      </c>
      <c r="AU26" s="58">
        <v>865028.44</v>
      </c>
      <c r="AV26" s="58">
        <v>881608.91</v>
      </c>
      <c r="AW26" s="58">
        <v>898418.23</v>
      </c>
      <c r="AX26" s="58">
        <v>915409.08</v>
      </c>
      <c r="AY26" s="58">
        <v>932531.28</v>
      </c>
      <c r="AZ26" s="58">
        <v>948233.12</v>
      </c>
      <c r="BA26" s="58">
        <v>770796.33</v>
      </c>
      <c r="BB26" s="58">
        <v>963646.21</v>
      </c>
      <c r="BC26" s="58">
        <v>996062.53</v>
      </c>
      <c r="BD26" s="58">
        <v>1034020.12</v>
      </c>
      <c r="BE26" s="58">
        <v>1066207</v>
      </c>
      <c r="BF26" s="58">
        <v>1099175.76</v>
      </c>
      <c r="BG26" s="58">
        <v>1132910.82</v>
      </c>
      <c r="BH26" s="58">
        <v>1167396.24</v>
      </c>
      <c r="BI26" s="58">
        <v>1202616.5</v>
      </c>
      <c r="BJ26" s="58">
        <v>1238555.6000000001</v>
      </c>
      <c r="BK26" s="58">
        <v>1275203.06</v>
      </c>
      <c r="BL26" s="58">
        <v>1312540.1100000001</v>
      </c>
      <c r="BM26" s="58">
        <v>1348682.49</v>
      </c>
      <c r="BN26" s="58">
        <v>963646.21</v>
      </c>
      <c r="BO26" s="58">
        <v>1385487.74</v>
      </c>
      <c r="BP26" s="58">
        <v>1426852.39</v>
      </c>
      <c r="BQ26" s="58">
        <v>1469761.24</v>
      </c>
      <c r="BR26" s="58">
        <v>1513362.04</v>
      </c>
      <c r="BS26" s="58">
        <v>1557640.21</v>
      </c>
      <c r="BT26" s="58">
        <v>1602581.23</v>
      </c>
      <c r="BU26" s="58">
        <v>1648175.08</v>
      </c>
      <c r="BV26" s="58">
        <v>1694409.63</v>
      </c>
      <c r="BW26" s="58">
        <v>1741266.76</v>
      </c>
      <c r="BX26" s="58">
        <v>1788737.47</v>
      </c>
      <c r="BY26" s="58">
        <v>1836809.14</v>
      </c>
      <c r="BZ26" s="58">
        <v>1885469.13</v>
      </c>
      <c r="CA26" s="58">
        <v>1385487.74</v>
      </c>
      <c r="CB26" s="58">
        <v>1934705.33</v>
      </c>
      <c r="CC26" s="58">
        <v>1980066.58</v>
      </c>
      <c r="CD26" s="58">
        <v>2026790.33</v>
      </c>
      <c r="CE26" s="58">
        <v>2074060.37</v>
      </c>
      <c r="CF26" s="58">
        <v>2121869.09</v>
      </c>
      <c r="CG26" s="58">
        <v>2170201.8199999998</v>
      </c>
      <c r="CH26" s="58">
        <v>2219050.92</v>
      </c>
      <c r="CI26" s="58">
        <v>2268406.6800000002</v>
      </c>
      <c r="CJ26" s="58">
        <v>2318258.4700000002</v>
      </c>
      <c r="CK26" s="58">
        <v>2367097.77</v>
      </c>
      <c r="CL26" s="58">
        <v>2415100.15</v>
      </c>
      <c r="CM26" s="58">
        <v>2463444.94</v>
      </c>
      <c r="CN26" s="58">
        <v>1934705.33</v>
      </c>
      <c r="CO26" s="58">
        <v>0</v>
      </c>
    </row>
    <row r="27" spans="1:93" ht="15.75" customHeight="1" x14ac:dyDescent="0.3">
      <c r="A27" s="56" t="s">
        <v>208</v>
      </c>
      <c r="B27" s="58">
        <v>34695.279999999999</v>
      </c>
      <c r="C27" s="58">
        <v>44196.66</v>
      </c>
      <c r="D27" s="58">
        <v>53504.13</v>
      </c>
      <c r="E27" s="58">
        <v>62627.38</v>
      </c>
      <c r="F27" s="58">
        <v>71566.429999999993</v>
      </c>
      <c r="G27" s="58">
        <v>80330.97</v>
      </c>
      <c r="H27" s="58">
        <v>88920.97</v>
      </c>
      <c r="I27" s="58">
        <v>97336.49</v>
      </c>
      <c r="J27" s="58">
        <v>105587.17</v>
      </c>
      <c r="K27" s="58">
        <v>113673.03</v>
      </c>
      <c r="L27" s="58">
        <v>121594.07</v>
      </c>
      <c r="M27" s="58">
        <v>129359.99</v>
      </c>
      <c r="N27" s="58">
        <v>1003392.57</v>
      </c>
      <c r="O27" s="58">
        <v>136970.78</v>
      </c>
      <c r="P27" s="58">
        <v>144426.45000000001</v>
      </c>
      <c r="Q27" s="58">
        <v>151736.70000000001</v>
      </c>
      <c r="R27" s="58">
        <v>158901.51999999999</v>
      </c>
      <c r="S27" s="58">
        <v>165920.89000000001</v>
      </c>
      <c r="T27" s="58">
        <v>172794.85</v>
      </c>
      <c r="U27" s="58">
        <v>179533.06</v>
      </c>
      <c r="V27" s="58">
        <v>186135.55</v>
      </c>
      <c r="W27" s="58">
        <v>167612</v>
      </c>
      <c r="X27" s="58">
        <v>173952.72</v>
      </c>
      <c r="Y27" s="58">
        <v>180167.38</v>
      </c>
      <c r="Z27" s="58">
        <v>186256.03</v>
      </c>
      <c r="AA27" s="58">
        <v>2004407.93</v>
      </c>
      <c r="AB27" s="58">
        <v>192228.32</v>
      </c>
      <c r="AC27" s="58">
        <v>198074.57</v>
      </c>
      <c r="AD27" s="58">
        <v>203804.48</v>
      </c>
      <c r="AE27" s="58">
        <v>209427.75</v>
      </c>
      <c r="AF27" s="58">
        <v>214934.66</v>
      </c>
      <c r="AG27" s="58">
        <v>220334.94</v>
      </c>
      <c r="AH27" s="58">
        <v>225618.86</v>
      </c>
      <c r="AI27" s="58">
        <v>230805.84</v>
      </c>
      <c r="AJ27" s="58">
        <v>235886.17</v>
      </c>
      <c r="AK27" s="58">
        <v>240859.83</v>
      </c>
      <c r="AL27" s="58">
        <v>245736.57</v>
      </c>
      <c r="AM27" s="58">
        <v>250516.33</v>
      </c>
      <c r="AN27" s="58">
        <v>2668228.3199999998</v>
      </c>
      <c r="AO27" s="58">
        <v>255199.16</v>
      </c>
      <c r="AP27" s="58">
        <v>259794.73</v>
      </c>
      <c r="AQ27" s="58">
        <v>264293.33</v>
      </c>
      <c r="AR27" s="58">
        <v>268704.69</v>
      </c>
      <c r="AS27" s="58">
        <v>273028.78999999998</v>
      </c>
      <c r="AT27" s="58">
        <v>277265.61</v>
      </c>
      <c r="AU27" s="58">
        <v>281415.2</v>
      </c>
      <c r="AV27" s="58">
        <v>285477.52</v>
      </c>
      <c r="AW27" s="58">
        <v>289462.28000000003</v>
      </c>
      <c r="AX27" s="58">
        <v>293369.48</v>
      </c>
      <c r="AY27" s="58">
        <v>297199.11</v>
      </c>
      <c r="AZ27" s="58">
        <v>300951.19</v>
      </c>
      <c r="BA27" s="58">
        <v>3346161.09</v>
      </c>
      <c r="BB27" s="58">
        <v>304625.69</v>
      </c>
      <c r="BC27" s="58">
        <v>308232.34999999998</v>
      </c>
      <c r="BD27" s="58">
        <v>311761.42</v>
      </c>
      <c r="BE27" s="58">
        <v>315222.64</v>
      </c>
      <c r="BF27" s="58">
        <v>318615.98</v>
      </c>
      <c r="BG27" s="58">
        <v>321941.46999999997</v>
      </c>
      <c r="BH27" s="58">
        <v>325199.09000000003</v>
      </c>
      <c r="BI27" s="58">
        <v>328388.83</v>
      </c>
      <c r="BJ27" s="58">
        <v>331520.40000000002</v>
      </c>
      <c r="BK27" s="58">
        <v>334584.11</v>
      </c>
      <c r="BL27" s="58">
        <v>337589.65</v>
      </c>
      <c r="BM27" s="58">
        <v>340537.01</v>
      </c>
      <c r="BN27" s="58">
        <v>3878218.64</v>
      </c>
      <c r="BO27" s="58">
        <v>343426.21</v>
      </c>
      <c r="BP27" s="58">
        <v>346257.22</v>
      </c>
      <c r="BQ27" s="58">
        <v>349030.08</v>
      </c>
      <c r="BR27" s="58">
        <v>351744.76</v>
      </c>
      <c r="BS27" s="58">
        <v>354401.26</v>
      </c>
      <c r="BT27" s="58">
        <v>357009.29</v>
      </c>
      <c r="BU27" s="58">
        <v>359568.85</v>
      </c>
      <c r="BV27" s="58">
        <v>362070.23</v>
      </c>
      <c r="BW27" s="58">
        <v>364523.13</v>
      </c>
      <c r="BX27" s="58">
        <v>366927.57</v>
      </c>
      <c r="BY27" s="58">
        <v>369283.51</v>
      </c>
      <c r="BZ27" s="58">
        <v>371591</v>
      </c>
      <c r="CA27" s="58">
        <v>4295833.1100000003</v>
      </c>
      <c r="CB27" s="58">
        <v>373849.99</v>
      </c>
      <c r="CC27" s="58">
        <v>376070.21</v>
      </c>
      <c r="CD27" s="58">
        <v>378241.96</v>
      </c>
      <c r="CE27" s="58">
        <v>380374.91</v>
      </c>
      <c r="CF27" s="58">
        <v>382459.4</v>
      </c>
      <c r="CG27" s="58">
        <v>384505.11</v>
      </c>
      <c r="CH27" s="58">
        <v>386512.03</v>
      </c>
      <c r="CI27" s="58">
        <v>388480.17</v>
      </c>
      <c r="CJ27" s="58">
        <v>390409.53</v>
      </c>
      <c r="CK27" s="58">
        <v>392300.11</v>
      </c>
      <c r="CL27" s="58">
        <v>394151.91</v>
      </c>
      <c r="CM27" s="58">
        <v>395964.93</v>
      </c>
      <c r="CN27" s="58">
        <v>4623320.26</v>
      </c>
      <c r="CO27" s="58">
        <v>21819561.920000002</v>
      </c>
    </row>
    <row r="28" spans="1:93" ht="15.75" customHeight="1" x14ac:dyDescent="0.3">
      <c r="A28" s="56" t="s">
        <v>209</v>
      </c>
      <c r="B28" s="58">
        <v>27403.95</v>
      </c>
      <c r="C28" s="58">
        <v>38484.53</v>
      </c>
      <c r="D28" s="58">
        <v>42649.760000000002</v>
      </c>
      <c r="E28" s="58">
        <v>46737.55</v>
      </c>
      <c r="F28" s="58">
        <v>51269.99</v>
      </c>
      <c r="G28" s="58">
        <v>56287.91</v>
      </c>
      <c r="H28" s="58">
        <v>62280.24</v>
      </c>
      <c r="I28" s="58">
        <v>67174.11</v>
      </c>
      <c r="J28" s="58">
        <v>71976.759999999995</v>
      </c>
      <c r="K28" s="58">
        <v>76710.53</v>
      </c>
      <c r="L28" s="58">
        <v>81368.7</v>
      </c>
      <c r="M28" s="58">
        <v>85945.48</v>
      </c>
      <c r="N28" s="58">
        <v>708289.51</v>
      </c>
      <c r="O28" s="58">
        <v>103178.18</v>
      </c>
      <c r="P28" s="58">
        <v>116055.19</v>
      </c>
      <c r="Q28" s="58">
        <v>122049</v>
      </c>
      <c r="R28" s="58">
        <v>127960.25</v>
      </c>
      <c r="S28" s="58">
        <v>133725.87</v>
      </c>
      <c r="T28" s="58">
        <v>139404.31</v>
      </c>
      <c r="U28" s="58">
        <v>145001.93</v>
      </c>
      <c r="V28" s="58">
        <v>150444.79999999999</v>
      </c>
      <c r="W28" s="58">
        <v>155808.29</v>
      </c>
      <c r="X28" s="58">
        <v>161092.57</v>
      </c>
      <c r="Y28" s="58">
        <v>166298.99</v>
      </c>
      <c r="Z28" s="58">
        <v>171338</v>
      </c>
      <c r="AA28" s="58">
        <v>1692357.38</v>
      </c>
      <c r="AB28" s="58">
        <v>181781.38</v>
      </c>
      <c r="AC28" s="58">
        <v>185838.49</v>
      </c>
      <c r="AD28" s="58">
        <v>193123.41</v>
      </c>
      <c r="AE28" s="58">
        <v>198280.52</v>
      </c>
      <c r="AF28" s="58">
        <v>202932.53</v>
      </c>
      <c r="AG28" s="58">
        <v>207519.35999999999</v>
      </c>
      <c r="AH28" s="58">
        <v>211916.59</v>
      </c>
      <c r="AI28" s="58">
        <v>216245.29</v>
      </c>
      <c r="AJ28" s="58">
        <v>220508.79</v>
      </c>
      <c r="AK28" s="58">
        <v>224703</v>
      </c>
      <c r="AL28" s="58">
        <v>228833</v>
      </c>
      <c r="AM28" s="58">
        <v>232903.24</v>
      </c>
      <c r="AN28" s="58">
        <v>2504585.6</v>
      </c>
      <c r="AO28" s="58">
        <v>240519.75</v>
      </c>
      <c r="AP28" s="58">
        <v>243276.5</v>
      </c>
      <c r="AQ28" s="58">
        <v>249125.4</v>
      </c>
      <c r="AR28" s="58">
        <v>253110.77</v>
      </c>
      <c r="AS28" s="58">
        <v>257057.13</v>
      </c>
      <c r="AT28" s="58">
        <v>260964.65</v>
      </c>
      <c r="AU28" s="58">
        <v>264834.73</v>
      </c>
      <c r="AV28" s="58">
        <v>268668.2</v>
      </c>
      <c r="AW28" s="58">
        <v>272471.43</v>
      </c>
      <c r="AX28" s="58">
        <v>276247.28000000003</v>
      </c>
      <c r="AY28" s="58">
        <v>281497.27</v>
      </c>
      <c r="AZ28" s="58">
        <v>285538.09999999998</v>
      </c>
      <c r="BA28" s="58">
        <v>3153311.21</v>
      </c>
      <c r="BB28" s="58">
        <v>272209.37</v>
      </c>
      <c r="BC28" s="58">
        <v>270274.76</v>
      </c>
      <c r="BD28" s="58">
        <v>279574.53999999998</v>
      </c>
      <c r="BE28" s="58">
        <v>282253.88</v>
      </c>
      <c r="BF28" s="58">
        <v>284880.92</v>
      </c>
      <c r="BG28" s="58">
        <v>287456.05</v>
      </c>
      <c r="BH28" s="58">
        <v>289978.83</v>
      </c>
      <c r="BI28" s="58">
        <v>292449.73</v>
      </c>
      <c r="BJ28" s="58">
        <v>294872.94</v>
      </c>
      <c r="BK28" s="58">
        <v>297247.06</v>
      </c>
      <c r="BL28" s="58">
        <v>301447.27</v>
      </c>
      <c r="BM28" s="58">
        <v>303731.76</v>
      </c>
      <c r="BN28" s="58">
        <v>3456377.11</v>
      </c>
      <c r="BO28" s="58">
        <v>302061.56</v>
      </c>
      <c r="BP28" s="58">
        <v>303348.37</v>
      </c>
      <c r="BQ28" s="58">
        <v>305429.28000000003</v>
      </c>
      <c r="BR28" s="58">
        <v>307466.59000000003</v>
      </c>
      <c r="BS28" s="58">
        <v>309460.24</v>
      </c>
      <c r="BT28" s="58">
        <v>311415.44</v>
      </c>
      <c r="BU28" s="58">
        <v>313334.3</v>
      </c>
      <c r="BV28" s="58">
        <v>315213.09999999998</v>
      </c>
      <c r="BW28" s="58">
        <v>317052.42</v>
      </c>
      <c r="BX28" s="58">
        <v>318855.90000000002</v>
      </c>
      <c r="BY28" s="58">
        <v>320623.52</v>
      </c>
      <c r="BZ28" s="58">
        <v>322354.8</v>
      </c>
      <c r="CA28" s="58">
        <v>3746615.52</v>
      </c>
      <c r="CB28" s="58">
        <v>328488.74</v>
      </c>
      <c r="CC28" s="58">
        <v>329346.46000000002</v>
      </c>
      <c r="CD28" s="58">
        <v>330971.92</v>
      </c>
      <c r="CE28" s="58">
        <v>332566.19</v>
      </c>
      <c r="CF28" s="58">
        <v>334126.67</v>
      </c>
      <c r="CG28" s="58">
        <v>335656.01</v>
      </c>
      <c r="CH28" s="58">
        <v>337156.27</v>
      </c>
      <c r="CI28" s="58">
        <v>338628.38</v>
      </c>
      <c r="CJ28" s="58">
        <v>341570.23</v>
      </c>
      <c r="CK28" s="58">
        <v>344297.73</v>
      </c>
      <c r="CL28" s="58">
        <v>345807.12</v>
      </c>
      <c r="CM28" s="58">
        <v>347163.89</v>
      </c>
      <c r="CN28" s="58">
        <v>4045779.61</v>
      </c>
      <c r="CO28" s="58">
        <v>19307315.940000001</v>
      </c>
    </row>
    <row r="29" spans="1:93" ht="15.75" customHeight="1" x14ac:dyDescent="0.3">
      <c r="A29" s="56" t="s">
        <v>210</v>
      </c>
      <c r="B29" s="58">
        <v>7291.33</v>
      </c>
      <c r="C29" s="58">
        <v>5712.13</v>
      </c>
      <c r="D29" s="58">
        <v>10854.37</v>
      </c>
      <c r="E29" s="58">
        <v>15889.83</v>
      </c>
      <c r="F29" s="58">
        <v>20296.439999999999</v>
      </c>
      <c r="G29" s="58">
        <v>24043.06</v>
      </c>
      <c r="H29" s="58">
        <v>26640.73</v>
      </c>
      <c r="I29" s="58">
        <v>30162.38</v>
      </c>
      <c r="J29" s="58">
        <v>33610.410000000003</v>
      </c>
      <c r="K29" s="58">
        <v>36962.5</v>
      </c>
      <c r="L29" s="58">
        <v>40225.370000000003</v>
      </c>
      <c r="M29" s="58">
        <v>43414.51</v>
      </c>
      <c r="N29" s="58">
        <v>295103.06</v>
      </c>
      <c r="O29" s="58">
        <v>33792.6</v>
      </c>
      <c r="P29" s="58">
        <v>28371.26</v>
      </c>
      <c r="Q29" s="58">
        <v>29687.7</v>
      </c>
      <c r="R29" s="58">
        <v>30941.27</v>
      </c>
      <c r="S29" s="58">
        <v>32195.02</v>
      </c>
      <c r="T29" s="58">
        <v>33390.54</v>
      </c>
      <c r="U29" s="58">
        <v>34531.129999999997</v>
      </c>
      <c r="V29" s="58">
        <v>35690.75</v>
      </c>
      <c r="W29" s="58">
        <v>11803.71</v>
      </c>
      <c r="X29" s="58">
        <v>12860.15</v>
      </c>
      <c r="Y29" s="58">
        <v>13868.39</v>
      </c>
      <c r="Z29" s="58">
        <v>14918.03</v>
      </c>
      <c r="AA29" s="58">
        <v>312050.55</v>
      </c>
      <c r="AB29" s="58">
        <v>10446.94</v>
      </c>
      <c r="AC29" s="58">
        <v>12236.08</v>
      </c>
      <c r="AD29" s="58">
        <v>10681.07</v>
      </c>
      <c r="AE29" s="58">
        <v>11147.23</v>
      </c>
      <c r="AF29" s="58">
        <v>12002.13</v>
      </c>
      <c r="AG29" s="58">
        <v>12815.58</v>
      </c>
      <c r="AH29" s="58">
        <v>13702.27</v>
      </c>
      <c r="AI29" s="58">
        <v>14560.55</v>
      </c>
      <c r="AJ29" s="58">
        <v>15377.38</v>
      </c>
      <c r="AK29" s="58">
        <v>16156.83</v>
      </c>
      <c r="AL29" s="58">
        <v>16903.57</v>
      </c>
      <c r="AM29" s="58">
        <v>17613.09</v>
      </c>
      <c r="AN29" s="58">
        <v>163642.72</v>
      </c>
      <c r="AO29" s="58">
        <v>14679.41</v>
      </c>
      <c r="AP29" s="58">
        <v>16518.23</v>
      </c>
      <c r="AQ29" s="58">
        <v>15167.93</v>
      </c>
      <c r="AR29" s="58">
        <v>15593.92</v>
      </c>
      <c r="AS29" s="58">
        <v>15971.66</v>
      </c>
      <c r="AT29" s="58">
        <v>16300.96</v>
      </c>
      <c r="AU29" s="58">
        <v>16580.47</v>
      </c>
      <c r="AV29" s="58">
        <v>16809.32</v>
      </c>
      <c r="AW29" s="58">
        <v>16990.849999999999</v>
      </c>
      <c r="AX29" s="58">
        <v>17122.2</v>
      </c>
      <c r="AY29" s="58">
        <v>15701.84</v>
      </c>
      <c r="AZ29" s="58">
        <v>15413.09</v>
      </c>
      <c r="BA29" s="58">
        <v>192849.88</v>
      </c>
      <c r="BB29" s="58">
        <v>32416.32</v>
      </c>
      <c r="BC29" s="58">
        <v>37957.589999999997</v>
      </c>
      <c r="BD29" s="58">
        <v>32186.880000000001</v>
      </c>
      <c r="BE29" s="58">
        <v>32968.76</v>
      </c>
      <c r="BF29" s="58">
        <v>33735.06</v>
      </c>
      <c r="BG29" s="58">
        <v>34485.42</v>
      </c>
      <c r="BH29" s="58">
        <v>35220.26</v>
      </c>
      <c r="BI29" s="58">
        <v>35939.1</v>
      </c>
      <c r="BJ29" s="58">
        <v>36647.46</v>
      </c>
      <c r="BK29" s="58">
        <v>37337.050000000003</v>
      </c>
      <c r="BL29" s="58">
        <v>36142.379999999997</v>
      </c>
      <c r="BM29" s="58">
        <v>36805.25</v>
      </c>
      <c r="BN29" s="58">
        <v>421841.53</v>
      </c>
      <c r="BO29" s="58">
        <v>41364.65</v>
      </c>
      <c r="BP29" s="58">
        <v>42908.85</v>
      </c>
      <c r="BQ29" s="58">
        <v>43600.800000000003</v>
      </c>
      <c r="BR29" s="58">
        <v>44278.17</v>
      </c>
      <c r="BS29" s="58">
        <v>44941.02</v>
      </c>
      <c r="BT29" s="58">
        <v>45593.85</v>
      </c>
      <c r="BU29" s="58">
        <v>46234.55</v>
      </c>
      <c r="BV29" s="58">
        <v>46857.13</v>
      </c>
      <c r="BW29" s="58">
        <v>47470.71</v>
      </c>
      <c r="BX29" s="58">
        <v>48071.67</v>
      </c>
      <c r="BY29" s="58">
        <v>48659.99</v>
      </c>
      <c r="BZ29" s="58">
        <v>49236.2</v>
      </c>
      <c r="CA29" s="58">
        <v>549217.59</v>
      </c>
      <c r="CB29" s="58">
        <v>45361.25</v>
      </c>
      <c r="CC29" s="58">
        <v>46723.75</v>
      </c>
      <c r="CD29" s="58">
        <v>47270.04</v>
      </c>
      <c r="CE29" s="58">
        <v>47808.72</v>
      </c>
      <c r="CF29" s="58">
        <v>48332.73</v>
      </c>
      <c r="CG29" s="58">
        <v>48849.1</v>
      </c>
      <c r="CH29" s="58">
        <v>49355.76</v>
      </c>
      <c r="CI29" s="58">
        <v>49851.79</v>
      </c>
      <c r="CJ29" s="58">
        <v>48839.3</v>
      </c>
      <c r="CK29" s="58">
        <v>48002.38</v>
      </c>
      <c r="CL29" s="58">
        <v>48344.79</v>
      </c>
      <c r="CM29" s="58">
        <v>48801.04</v>
      </c>
      <c r="CN29" s="58">
        <v>577540.65</v>
      </c>
      <c r="CO29" s="58">
        <v>2512245.98</v>
      </c>
    </row>
    <row r="30" spans="1:93" ht="15.75" customHeight="1" x14ac:dyDescent="0.3">
      <c r="A30" s="56" t="s">
        <v>211</v>
      </c>
      <c r="B30" s="58">
        <v>7291.33</v>
      </c>
      <c r="C30" s="58">
        <v>13003.46</v>
      </c>
      <c r="D30" s="58">
        <v>23857.83</v>
      </c>
      <c r="E30" s="58">
        <v>39747.660000000003</v>
      </c>
      <c r="F30" s="58">
        <v>60044.1</v>
      </c>
      <c r="G30" s="58">
        <v>84087.16</v>
      </c>
      <c r="H30" s="58">
        <v>110727.89</v>
      </c>
      <c r="I30" s="58">
        <v>140890.26999999999</v>
      </c>
      <c r="J30" s="58">
        <v>174500.68</v>
      </c>
      <c r="K30" s="58">
        <v>211463.18</v>
      </c>
      <c r="L30" s="58">
        <v>251688.55</v>
      </c>
      <c r="M30" s="58">
        <v>295103.06</v>
      </c>
      <c r="N30" s="58">
        <v>295103.06</v>
      </c>
      <c r="O30" s="58">
        <v>328895.65999999997</v>
      </c>
      <c r="P30" s="58">
        <v>357266.92</v>
      </c>
      <c r="Q30" s="58">
        <v>386954.62</v>
      </c>
      <c r="R30" s="58">
        <v>417895.89</v>
      </c>
      <c r="S30" s="58">
        <v>450090.91</v>
      </c>
      <c r="T30" s="58">
        <v>483481.45</v>
      </c>
      <c r="U30" s="58">
        <v>518012.58</v>
      </c>
      <c r="V30" s="58">
        <v>553703.32999999996</v>
      </c>
      <c r="W30" s="58">
        <v>565507.04</v>
      </c>
      <c r="X30" s="58">
        <v>578367.18999999994</v>
      </c>
      <c r="Y30" s="58">
        <v>592235.57999999996</v>
      </c>
      <c r="Z30" s="58">
        <v>607153.61</v>
      </c>
      <c r="AA30" s="58">
        <v>607153.61</v>
      </c>
      <c r="AB30" s="58">
        <v>617600.55000000005</v>
      </c>
      <c r="AC30" s="58">
        <v>629836.63</v>
      </c>
      <c r="AD30" s="58">
        <v>640517.69999999995</v>
      </c>
      <c r="AE30" s="58">
        <v>651664.93000000005</v>
      </c>
      <c r="AF30" s="58">
        <v>663667.06000000006</v>
      </c>
      <c r="AG30" s="58">
        <v>676482.64</v>
      </c>
      <c r="AH30" s="58">
        <v>690184.91</v>
      </c>
      <c r="AI30" s="58">
        <v>704745.46</v>
      </c>
      <c r="AJ30" s="58">
        <v>720122.84</v>
      </c>
      <c r="AK30" s="58">
        <v>736279.67</v>
      </c>
      <c r="AL30" s="58">
        <v>753183.24</v>
      </c>
      <c r="AM30" s="58">
        <v>770796.33</v>
      </c>
      <c r="AN30" s="58">
        <v>770796.33</v>
      </c>
      <c r="AO30" s="58">
        <v>785475.74</v>
      </c>
      <c r="AP30" s="58">
        <v>801993.97</v>
      </c>
      <c r="AQ30" s="58">
        <v>817161.9</v>
      </c>
      <c r="AR30" s="58">
        <v>832755.82</v>
      </c>
      <c r="AS30" s="58">
        <v>848727.48</v>
      </c>
      <c r="AT30" s="58">
        <v>865028.44</v>
      </c>
      <c r="AU30" s="58">
        <v>881608.91</v>
      </c>
      <c r="AV30" s="58">
        <v>898418.23</v>
      </c>
      <c r="AW30" s="58">
        <v>915409.08</v>
      </c>
      <c r="AX30" s="58">
        <v>932531.28</v>
      </c>
      <c r="AY30" s="58">
        <v>948233.12</v>
      </c>
      <c r="AZ30" s="58">
        <v>963646.21</v>
      </c>
      <c r="BA30" s="58">
        <v>963646.21</v>
      </c>
      <c r="BB30" s="58">
        <v>996062.53</v>
      </c>
      <c r="BC30" s="58">
        <v>1034020.12</v>
      </c>
      <c r="BD30" s="58">
        <v>1066207</v>
      </c>
      <c r="BE30" s="58">
        <v>1099175.76</v>
      </c>
      <c r="BF30" s="58">
        <v>1132910.82</v>
      </c>
      <c r="BG30" s="58">
        <v>1167396.24</v>
      </c>
      <c r="BH30" s="58">
        <v>1202616.5</v>
      </c>
      <c r="BI30" s="58">
        <v>1238555.6000000001</v>
      </c>
      <c r="BJ30" s="58">
        <v>1275203.06</v>
      </c>
      <c r="BK30" s="58">
        <v>1312540.1100000001</v>
      </c>
      <c r="BL30" s="58">
        <v>1348682.49</v>
      </c>
      <c r="BM30" s="58">
        <v>1385487.74</v>
      </c>
      <c r="BN30" s="58">
        <v>1385487.74</v>
      </c>
      <c r="BO30" s="58">
        <v>1426852.39</v>
      </c>
      <c r="BP30" s="58">
        <v>1469761.24</v>
      </c>
      <c r="BQ30" s="58">
        <v>1513362.04</v>
      </c>
      <c r="BR30" s="58">
        <v>1557640.21</v>
      </c>
      <c r="BS30" s="58">
        <v>1602581.23</v>
      </c>
      <c r="BT30" s="58">
        <v>1648175.08</v>
      </c>
      <c r="BU30" s="58">
        <v>1694409.63</v>
      </c>
      <c r="BV30" s="58">
        <v>1741266.76</v>
      </c>
      <c r="BW30" s="58">
        <v>1788737.47</v>
      </c>
      <c r="BX30" s="58">
        <v>1836809.14</v>
      </c>
      <c r="BY30" s="58">
        <v>1885469.13</v>
      </c>
      <c r="BZ30" s="58">
        <v>1934705.33</v>
      </c>
      <c r="CA30" s="58">
        <v>1934705.33</v>
      </c>
      <c r="CB30" s="58">
        <v>1980066.58</v>
      </c>
      <c r="CC30" s="58">
        <v>2026790.33</v>
      </c>
      <c r="CD30" s="58">
        <v>2074060.37</v>
      </c>
      <c r="CE30" s="58">
        <v>2121869.09</v>
      </c>
      <c r="CF30" s="58">
        <v>2170201.8199999998</v>
      </c>
      <c r="CG30" s="58">
        <v>2219050.92</v>
      </c>
      <c r="CH30" s="58">
        <v>2268406.6800000002</v>
      </c>
      <c r="CI30" s="58">
        <v>2318258.4700000002</v>
      </c>
      <c r="CJ30" s="58">
        <v>2367097.77</v>
      </c>
      <c r="CK30" s="58">
        <v>2415100.15</v>
      </c>
      <c r="CL30" s="58">
        <v>2463444.94</v>
      </c>
      <c r="CM30" s="58">
        <v>2512245.98</v>
      </c>
      <c r="CN30" s="58">
        <v>2512245.98</v>
      </c>
      <c r="CO30" s="58">
        <v>2512245.98</v>
      </c>
    </row>
    <row r="31" spans="1:93" ht="15.75" customHeight="1" x14ac:dyDescent="0.3"/>
    <row r="32" spans="1:9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212</v>
      </c>
      <c r="B2" s="58">
        <v>0</v>
      </c>
      <c r="C2" s="58">
        <v>8358</v>
      </c>
      <c r="D2" s="58">
        <v>24906.84</v>
      </c>
      <c r="E2" s="58">
        <v>49479.360000000001</v>
      </c>
      <c r="F2" s="58">
        <v>81916.759999999995</v>
      </c>
      <c r="G2" s="58">
        <v>122060.23</v>
      </c>
      <c r="H2" s="58">
        <v>169759.34</v>
      </c>
      <c r="I2" s="58">
        <v>224863.63</v>
      </c>
      <c r="J2" s="58">
        <v>287222.67</v>
      </c>
      <c r="K2" s="58">
        <v>356694.37</v>
      </c>
      <c r="L2" s="58">
        <v>433136.64000000001</v>
      </c>
      <c r="M2" s="58">
        <v>516407.39</v>
      </c>
      <c r="N2" s="58">
        <v>0</v>
      </c>
      <c r="O2" s="58">
        <v>606372.9</v>
      </c>
      <c r="P2" s="58">
        <v>702899.44</v>
      </c>
      <c r="Q2" s="58">
        <v>805853.28</v>
      </c>
      <c r="R2" s="58">
        <v>915109.06</v>
      </c>
      <c r="S2" s="58">
        <v>1030541.4</v>
      </c>
      <c r="T2" s="58">
        <v>1152024.93</v>
      </c>
      <c r="U2" s="58">
        <v>1279434.28</v>
      </c>
      <c r="V2" s="58">
        <v>1412652.44</v>
      </c>
      <c r="W2" s="58">
        <v>1551562.4</v>
      </c>
      <c r="X2" s="58">
        <v>1696055.5</v>
      </c>
      <c r="Y2" s="58">
        <v>1846014.74</v>
      </c>
      <c r="Z2" s="58">
        <v>2001331.45</v>
      </c>
      <c r="AA2" s="58">
        <v>606372.9</v>
      </c>
      <c r="AB2" s="58">
        <v>2161896.9900000002</v>
      </c>
      <c r="AC2" s="58">
        <v>2327611.06</v>
      </c>
      <c r="AD2" s="58">
        <v>2498365</v>
      </c>
      <c r="AE2" s="58">
        <v>2674058.52</v>
      </c>
      <c r="AF2" s="58">
        <v>2854599.68</v>
      </c>
      <c r="AG2" s="58">
        <v>3039888.18</v>
      </c>
      <c r="AH2" s="58">
        <v>3229832.09</v>
      </c>
      <c r="AI2" s="58">
        <v>3424331.11</v>
      </c>
      <c r="AJ2" s="58">
        <v>3623301.66</v>
      </c>
      <c r="AK2" s="58">
        <v>3826651.8</v>
      </c>
      <c r="AL2" s="58">
        <v>4034289.59</v>
      </c>
      <c r="AM2" s="58">
        <v>4246131.46</v>
      </c>
      <c r="AN2" s="58">
        <v>2161896.9900000002</v>
      </c>
      <c r="AO2" s="58">
        <v>4462093.82</v>
      </c>
      <c r="AP2" s="58">
        <v>4682093.0999999996</v>
      </c>
      <c r="AQ2" s="58">
        <v>4906054.07</v>
      </c>
      <c r="AR2" s="58">
        <v>5133893.1500000004</v>
      </c>
      <c r="AS2" s="58">
        <v>5365535.12</v>
      </c>
      <c r="AT2" s="58">
        <v>5600904.7599999998</v>
      </c>
      <c r="AU2" s="58">
        <v>5839926.8399999999</v>
      </c>
      <c r="AV2" s="58">
        <v>6082526.1500000004</v>
      </c>
      <c r="AW2" s="58">
        <v>6328627.46</v>
      </c>
      <c r="AX2" s="58">
        <v>6578163.9100000001</v>
      </c>
      <c r="AY2" s="58">
        <v>6831068.6299999999</v>
      </c>
      <c r="AZ2" s="58">
        <v>7087274.7599999998</v>
      </c>
      <c r="BA2" s="58">
        <v>4462093.82</v>
      </c>
      <c r="BB2" s="58">
        <v>7346715.4400000004</v>
      </c>
      <c r="BC2" s="58">
        <v>7609323.7999999998</v>
      </c>
      <c r="BD2" s="58">
        <v>7875041.3399999999</v>
      </c>
      <c r="BE2" s="58">
        <v>8143801.1900000004</v>
      </c>
      <c r="BF2" s="58">
        <v>8415544.8399999999</v>
      </c>
      <c r="BG2" s="58">
        <v>8690213.7899999991</v>
      </c>
      <c r="BH2" s="58">
        <v>8967749.5399999991</v>
      </c>
      <c r="BI2" s="58">
        <v>9248093.5800000001</v>
      </c>
      <c r="BJ2" s="58">
        <v>9531187.4000000004</v>
      </c>
      <c r="BK2" s="58">
        <v>9816980.8499999996</v>
      </c>
      <c r="BL2" s="58">
        <v>10105415.43</v>
      </c>
      <c r="BM2" s="58">
        <v>10396440.99</v>
      </c>
      <c r="BN2" s="58">
        <v>7346715.4400000004</v>
      </c>
      <c r="BO2" s="58">
        <v>10690007.380000001</v>
      </c>
      <c r="BP2" s="58">
        <v>10986064.460000001</v>
      </c>
      <c r="BQ2" s="58">
        <v>11284562.07</v>
      </c>
      <c r="BR2" s="58">
        <v>11585450.07</v>
      </c>
      <c r="BS2" s="58">
        <v>11888678.310000001</v>
      </c>
      <c r="BT2" s="58">
        <v>12194196.640000001</v>
      </c>
      <c r="BU2" s="58">
        <v>12501963.27</v>
      </c>
      <c r="BV2" s="58">
        <v>12811936.42</v>
      </c>
      <c r="BW2" s="58">
        <v>13124065.93</v>
      </c>
      <c r="BX2" s="58">
        <v>13438310.01</v>
      </c>
      <c r="BY2" s="58">
        <v>13754626.880000001</v>
      </c>
      <c r="BZ2" s="58">
        <v>14072974.74</v>
      </c>
      <c r="CA2" s="58">
        <v>10690007.380000001</v>
      </c>
      <c r="CB2" s="58">
        <v>14393311.810000001</v>
      </c>
      <c r="CC2" s="58">
        <v>14715596.289999999</v>
      </c>
      <c r="CD2" s="58">
        <v>15039794.75</v>
      </c>
      <c r="CE2" s="58">
        <v>15365865.4</v>
      </c>
      <c r="CF2" s="58">
        <v>15693774.810000001</v>
      </c>
      <c r="CG2" s="58">
        <v>16023481.189999999</v>
      </c>
      <c r="CH2" s="58">
        <v>16354951.109999999</v>
      </c>
      <c r="CI2" s="58">
        <v>16688151.140000001</v>
      </c>
      <c r="CJ2" s="58">
        <v>17023047.84</v>
      </c>
      <c r="CK2" s="58">
        <v>17359607.780000001</v>
      </c>
      <c r="CL2" s="58">
        <v>17697797.530000001</v>
      </c>
      <c r="CM2" s="58">
        <v>18037583.66</v>
      </c>
      <c r="CN2" s="58">
        <v>14393311.810000001</v>
      </c>
      <c r="CO2" s="58">
        <v>0</v>
      </c>
    </row>
    <row r="3" spans="1:93" ht="14.4" x14ac:dyDescent="0.3">
      <c r="A3" s="56" t="s">
        <v>213</v>
      </c>
      <c r="B3" s="58">
        <v>8358</v>
      </c>
      <c r="C3" s="58">
        <v>16548.84</v>
      </c>
      <c r="D3" s="58">
        <v>24572.52</v>
      </c>
      <c r="E3" s="58">
        <v>32437.4</v>
      </c>
      <c r="F3" s="58">
        <v>40143.47</v>
      </c>
      <c r="G3" s="58">
        <v>47699.11</v>
      </c>
      <c r="H3" s="58">
        <v>55104.29</v>
      </c>
      <c r="I3" s="58">
        <v>62359.040000000001</v>
      </c>
      <c r="J3" s="58">
        <v>69471.7</v>
      </c>
      <c r="K3" s="58">
        <v>76442.27</v>
      </c>
      <c r="L3" s="58">
        <v>83270.75</v>
      </c>
      <c r="M3" s="58">
        <v>89965.51</v>
      </c>
      <c r="N3" s="58">
        <v>606372.9</v>
      </c>
      <c r="O3" s="58">
        <v>96526.54</v>
      </c>
      <c r="P3" s="58">
        <v>102953.84</v>
      </c>
      <c r="Q3" s="58">
        <v>109255.78</v>
      </c>
      <c r="R3" s="58">
        <v>115432.34</v>
      </c>
      <c r="S3" s="58">
        <v>121483.53</v>
      </c>
      <c r="T3" s="58">
        <v>127409.35</v>
      </c>
      <c r="U3" s="58">
        <v>133218.16</v>
      </c>
      <c r="V3" s="58">
        <v>138909.96</v>
      </c>
      <c r="W3" s="58">
        <v>144493.1</v>
      </c>
      <c r="X3" s="58">
        <v>149959.24</v>
      </c>
      <c r="Y3" s="58">
        <v>155316.71</v>
      </c>
      <c r="Z3" s="58">
        <v>160565.54</v>
      </c>
      <c r="AA3" s="58">
        <v>1555524.09</v>
      </c>
      <c r="AB3" s="58">
        <v>165714.07</v>
      </c>
      <c r="AC3" s="58">
        <v>170753.94</v>
      </c>
      <c r="AD3" s="58">
        <v>175693.52</v>
      </c>
      <c r="AE3" s="58">
        <v>180541.16</v>
      </c>
      <c r="AF3" s="58">
        <v>185288.5</v>
      </c>
      <c r="AG3" s="58">
        <v>189943.91</v>
      </c>
      <c r="AH3" s="58">
        <v>194499.02</v>
      </c>
      <c r="AI3" s="58">
        <v>198970.55</v>
      </c>
      <c r="AJ3" s="58">
        <v>203350.14</v>
      </c>
      <c r="AK3" s="58">
        <v>207637.79</v>
      </c>
      <c r="AL3" s="58">
        <v>211841.87</v>
      </c>
      <c r="AM3" s="58">
        <v>215962.36</v>
      </c>
      <c r="AN3" s="58">
        <v>2300196.83</v>
      </c>
      <c r="AO3" s="58">
        <v>219999.28</v>
      </c>
      <c r="AP3" s="58">
        <v>223960.97</v>
      </c>
      <c r="AQ3" s="58">
        <v>227839.08</v>
      </c>
      <c r="AR3" s="58">
        <v>231641.97</v>
      </c>
      <c r="AS3" s="58">
        <v>235369.64</v>
      </c>
      <c r="AT3" s="58">
        <v>239022.07999999999</v>
      </c>
      <c r="AU3" s="58">
        <v>242599.31</v>
      </c>
      <c r="AV3" s="58">
        <v>246101.31</v>
      </c>
      <c r="AW3" s="58">
        <v>249536.45</v>
      </c>
      <c r="AX3" s="58">
        <v>252904.72</v>
      </c>
      <c r="AY3" s="58">
        <v>256206.13</v>
      </c>
      <c r="AZ3" s="58">
        <v>259440.68</v>
      </c>
      <c r="BA3" s="58">
        <v>2884621.62</v>
      </c>
      <c r="BB3" s="58">
        <v>262608.36</v>
      </c>
      <c r="BC3" s="58">
        <v>265717.53999999998</v>
      </c>
      <c r="BD3" s="58">
        <v>268759.84999999998</v>
      </c>
      <c r="BE3" s="58">
        <v>271743.65000000002</v>
      </c>
      <c r="BF3" s="58">
        <v>274668.95</v>
      </c>
      <c r="BG3" s="58">
        <v>277535.75</v>
      </c>
      <c r="BH3" s="58">
        <v>280344.03999999998</v>
      </c>
      <c r="BI3" s="58">
        <v>283093.82</v>
      </c>
      <c r="BJ3" s="58">
        <v>285793.45</v>
      </c>
      <c r="BK3" s="58">
        <v>288434.58</v>
      </c>
      <c r="BL3" s="58">
        <v>291025.56</v>
      </c>
      <c r="BM3" s="58">
        <v>293566.39</v>
      </c>
      <c r="BN3" s="58">
        <v>3343291.94</v>
      </c>
      <c r="BO3" s="58">
        <v>296057.08</v>
      </c>
      <c r="BP3" s="58">
        <v>298497.61</v>
      </c>
      <c r="BQ3" s="58">
        <v>300888</v>
      </c>
      <c r="BR3" s="58">
        <v>303228.24</v>
      </c>
      <c r="BS3" s="58">
        <v>305518.33</v>
      </c>
      <c r="BT3" s="58">
        <v>307766.63</v>
      </c>
      <c r="BU3" s="58">
        <v>309973.15000000002</v>
      </c>
      <c r="BV3" s="58">
        <v>312129.51</v>
      </c>
      <c r="BW3" s="58">
        <v>314244.08</v>
      </c>
      <c r="BX3" s="58">
        <v>316316.87</v>
      </c>
      <c r="BY3" s="58">
        <v>318347.86</v>
      </c>
      <c r="BZ3" s="58">
        <v>320337.07</v>
      </c>
      <c r="CA3" s="58">
        <v>3703304.43</v>
      </c>
      <c r="CB3" s="58">
        <v>322284.48</v>
      </c>
      <c r="CC3" s="58">
        <v>324198.46000000002</v>
      </c>
      <c r="CD3" s="58">
        <v>326070.65000000002</v>
      </c>
      <c r="CE3" s="58">
        <v>327909.40999999997</v>
      </c>
      <c r="CF3" s="58">
        <v>329706.38</v>
      </c>
      <c r="CG3" s="58">
        <v>331469.92</v>
      </c>
      <c r="CH3" s="58">
        <v>333200.03000000003</v>
      </c>
      <c r="CI3" s="58">
        <v>334896.7</v>
      </c>
      <c r="CJ3" s="58">
        <v>336559.94</v>
      </c>
      <c r="CK3" s="58">
        <v>338189.75</v>
      </c>
      <c r="CL3" s="58">
        <v>339786.13</v>
      </c>
      <c r="CM3" s="58">
        <v>341349.08</v>
      </c>
      <c r="CN3" s="58">
        <v>3985620.93</v>
      </c>
      <c r="CO3" s="58">
        <v>18378932.739999998</v>
      </c>
    </row>
    <row r="4" spans="1:93" ht="14.4" x14ac:dyDescent="0.3">
      <c r="A4" s="56" t="s">
        <v>214</v>
      </c>
      <c r="B4" s="58">
        <v>8358</v>
      </c>
      <c r="C4" s="58">
        <v>24906.84</v>
      </c>
      <c r="D4" s="58">
        <v>49479.360000000001</v>
      </c>
      <c r="E4" s="58">
        <v>81916.759999999995</v>
      </c>
      <c r="F4" s="58">
        <v>122060.23</v>
      </c>
      <c r="G4" s="58">
        <v>169759.34</v>
      </c>
      <c r="H4" s="58">
        <v>224863.63</v>
      </c>
      <c r="I4" s="58">
        <v>287222.67</v>
      </c>
      <c r="J4" s="58">
        <v>356694.37</v>
      </c>
      <c r="K4" s="58">
        <v>433136.64000000001</v>
      </c>
      <c r="L4" s="58">
        <v>516407.39</v>
      </c>
      <c r="M4" s="58">
        <v>606372.9</v>
      </c>
      <c r="N4" s="58">
        <v>606372.9</v>
      </c>
      <c r="O4" s="58">
        <v>702899.44</v>
      </c>
      <c r="P4" s="58">
        <v>805853.28</v>
      </c>
      <c r="Q4" s="58">
        <v>915109.06</v>
      </c>
      <c r="R4" s="58">
        <v>1030541.4</v>
      </c>
      <c r="S4" s="58">
        <v>1152024.93</v>
      </c>
      <c r="T4" s="58">
        <v>1279434.28</v>
      </c>
      <c r="U4" s="58">
        <v>1412652.44</v>
      </c>
      <c r="V4" s="58">
        <v>1551562.4</v>
      </c>
      <c r="W4" s="58">
        <v>1696055.5</v>
      </c>
      <c r="X4" s="58">
        <v>1846014.74</v>
      </c>
      <c r="Y4" s="58">
        <v>2001331.45</v>
      </c>
      <c r="Z4" s="58">
        <v>2161896.9900000002</v>
      </c>
      <c r="AA4" s="58">
        <v>2161896.9900000002</v>
      </c>
      <c r="AB4" s="58">
        <v>2327611.06</v>
      </c>
      <c r="AC4" s="58">
        <v>2498365</v>
      </c>
      <c r="AD4" s="58">
        <v>2674058.52</v>
      </c>
      <c r="AE4" s="58">
        <v>2854599.68</v>
      </c>
      <c r="AF4" s="58">
        <v>3039888.18</v>
      </c>
      <c r="AG4" s="58">
        <v>3229832.09</v>
      </c>
      <c r="AH4" s="58">
        <v>3424331.11</v>
      </c>
      <c r="AI4" s="58">
        <v>3623301.66</v>
      </c>
      <c r="AJ4" s="58">
        <v>3826651.8</v>
      </c>
      <c r="AK4" s="58">
        <v>4034289.59</v>
      </c>
      <c r="AL4" s="58">
        <v>4246131.46</v>
      </c>
      <c r="AM4" s="58">
        <v>4462093.82</v>
      </c>
      <c r="AN4" s="58">
        <v>4462093.82</v>
      </c>
      <c r="AO4" s="58">
        <v>4682093.0999999996</v>
      </c>
      <c r="AP4" s="58">
        <v>4906054.07</v>
      </c>
      <c r="AQ4" s="58">
        <v>5133893.1500000004</v>
      </c>
      <c r="AR4" s="58">
        <v>5365535.12</v>
      </c>
      <c r="AS4" s="58">
        <v>5600904.7599999998</v>
      </c>
      <c r="AT4" s="58">
        <v>5839926.8399999999</v>
      </c>
      <c r="AU4" s="58">
        <v>6082526.1500000004</v>
      </c>
      <c r="AV4" s="58">
        <v>6328627.46</v>
      </c>
      <c r="AW4" s="58">
        <v>6578163.9100000001</v>
      </c>
      <c r="AX4" s="58">
        <v>6831068.6299999999</v>
      </c>
      <c r="AY4" s="58">
        <v>7087274.7599999998</v>
      </c>
      <c r="AZ4" s="58">
        <v>7346715.4400000004</v>
      </c>
      <c r="BA4" s="58">
        <v>7346715.4400000004</v>
      </c>
      <c r="BB4" s="58">
        <v>7609323.7999999998</v>
      </c>
      <c r="BC4" s="58">
        <v>7875041.3399999999</v>
      </c>
      <c r="BD4" s="58">
        <v>8143801.1900000004</v>
      </c>
      <c r="BE4" s="58">
        <v>8415544.8399999999</v>
      </c>
      <c r="BF4" s="58">
        <v>8690213.7899999991</v>
      </c>
      <c r="BG4" s="58">
        <v>8967749.5399999991</v>
      </c>
      <c r="BH4" s="58">
        <v>9248093.5800000001</v>
      </c>
      <c r="BI4" s="58">
        <v>9531187.4000000004</v>
      </c>
      <c r="BJ4" s="58">
        <v>9816980.8499999996</v>
      </c>
      <c r="BK4" s="58">
        <v>10105415.43</v>
      </c>
      <c r="BL4" s="58">
        <v>10396440.99</v>
      </c>
      <c r="BM4" s="58">
        <v>10690007.380000001</v>
      </c>
      <c r="BN4" s="58">
        <v>10690007.380000001</v>
      </c>
      <c r="BO4" s="58">
        <v>10986064.460000001</v>
      </c>
      <c r="BP4" s="58">
        <v>11284562.07</v>
      </c>
      <c r="BQ4" s="58">
        <v>11585450.07</v>
      </c>
      <c r="BR4" s="58">
        <v>11888678.310000001</v>
      </c>
      <c r="BS4" s="58">
        <v>12194196.640000001</v>
      </c>
      <c r="BT4" s="58">
        <v>12501963.27</v>
      </c>
      <c r="BU4" s="58">
        <v>12811936.42</v>
      </c>
      <c r="BV4" s="58">
        <v>13124065.93</v>
      </c>
      <c r="BW4" s="58">
        <v>13438310.01</v>
      </c>
      <c r="BX4" s="58">
        <v>13754626.880000001</v>
      </c>
      <c r="BY4" s="58">
        <v>14072974.74</v>
      </c>
      <c r="BZ4" s="58">
        <v>14393311.810000001</v>
      </c>
      <c r="CA4" s="58">
        <v>14393311.810000001</v>
      </c>
      <c r="CB4" s="58">
        <v>14715596.289999999</v>
      </c>
      <c r="CC4" s="58">
        <v>15039794.75</v>
      </c>
      <c r="CD4" s="58">
        <v>15365865.4</v>
      </c>
      <c r="CE4" s="58">
        <v>15693774.810000001</v>
      </c>
      <c r="CF4" s="58">
        <v>16023481.189999999</v>
      </c>
      <c r="CG4" s="58">
        <v>16354951.109999999</v>
      </c>
      <c r="CH4" s="58">
        <v>16688151.140000001</v>
      </c>
      <c r="CI4" s="58">
        <v>17023047.84</v>
      </c>
      <c r="CJ4" s="58">
        <v>17359607.780000001</v>
      </c>
      <c r="CK4" s="58">
        <v>17697797.530000001</v>
      </c>
      <c r="CL4" s="58">
        <v>18037583.66</v>
      </c>
      <c r="CM4" s="58">
        <v>18378932.739999998</v>
      </c>
      <c r="CN4" s="58">
        <v>18378932.739999998</v>
      </c>
      <c r="CO4" s="58">
        <v>18378932.739999998</v>
      </c>
    </row>
    <row r="5" spans="1:93" ht="14.4" x14ac:dyDescent="0.3">
      <c r="A5" s="56" t="s">
        <v>169</v>
      </c>
    </row>
    <row r="6" spans="1:93" ht="14.4" x14ac:dyDescent="0.3">
      <c r="A6" s="56" t="s">
        <v>215</v>
      </c>
      <c r="B6" s="58">
        <v>0</v>
      </c>
      <c r="C6" s="58">
        <v>35290</v>
      </c>
      <c r="D6" s="58">
        <v>73040.800000000003</v>
      </c>
      <c r="E6" s="58">
        <v>113200.2</v>
      </c>
      <c r="F6" s="58">
        <v>155721.51</v>
      </c>
      <c r="G6" s="58">
        <v>201579.04</v>
      </c>
      <c r="H6" s="58">
        <v>250838.61</v>
      </c>
      <c r="I6" s="58">
        <v>304433.03999999998</v>
      </c>
      <c r="J6" s="58">
        <v>361294.15</v>
      </c>
      <c r="K6" s="58">
        <v>421358.27</v>
      </c>
      <c r="L6" s="58">
        <v>484561.73</v>
      </c>
      <c r="M6" s="58">
        <v>550839.86</v>
      </c>
      <c r="N6" s="58">
        <v>0</v>
      </c>
      <c r="O6" s="58">
        <v>620132.5</v>
      </c>
      <c r="P6" s="58">
        <v>707007.49</v>
      </c>
      <c r="Q6" s="58">
        <v>796712.67</v>
      </c>
      <c r="R6" s="58">
        <v>889192.39</v>
      </c>
      <c r="S6" s="58">
        <v>984392</v>
      </c>
      <c r="T6" s="58">
        <v>1082255.8500000001</v>
      </c>
      <c r="U6" s="58">
        <v>1182729.29</v>
      </c>
      <c r="V6" s="58">
        <v>1285760.18</v>
      </c>
      <c r="W6" s="58">
        <v>1391297.38</v>
      </c>
      <c r="X6" s="58">
        <v>1499293.26</v>
      </c>
      <c r="Y6" s="58">
        <v>1609695.68</v>
      </c>
      <c r="Z6" s="58">
        <v>1722457.01</v>
      </c>
      <c r="AA6" s="58">
        <v>620132.5</v>
      </c>
      <c r="AB6" s="58">
        <v>1837529.62</v>
      </c>
      <c r="AC6" s="58">
        <v>1964176.39</v>
      </c>
      <c r="AD6" s="58">
        <v>2092992.69</v>
      </c>
      <c r="AE6" s="58">
        <v>2229810.4</v>
      </c>
      <c r="AF6" s="58">
        <v>2368713.91</v>
      </c>
      <c r="AG6" s="58">
        <v>2509660.1</v>
      </c>
      <c r="AH6" s="58">
        <v>2652609.36</v>
      </c>
      <c r="AI6" s="58">
        <v>2797518.57</v>
      </c>
      <c r="AJ6" s="58">
        <v>2944352.63</v>
      </c>
      <c r="AK6" s="58">
        <v>3093070.93</v>
      </c>
      <c r="AL6" s="58">
        <v>3243633.86</v>
      </c>
      <c r="AM6" s="58">
        <v>3396006.32</v>
      </c>
      <c r="AN6" s="58">
        <v>1837529.62</v>
      </c>
      <c r="AO6" s="58">
        <v>3550152.21</v>
      </c>
      <c r="AP6" s="58">
        <v>3710856.23</v>
      </c>
      <c r="AQ6" s="58">
        <v>3873419.19</v>
      </c>
      <c r="AR6" s="58">
        <v>4041361.79</v>
      </c>
      <c r="AS6" s="58">
        <v>4210903.4400000004</v>
      </c>
      <c r="AT6" s="58">
        <v>4382011.55</v>
      </c>
      <c r="AU6" s="58">
        <v>4554654.53</v>
      </c>
      <c r="AV6" s="58">
        <v>4728800.79</v>
      </c>
      <c r="AW6" s="58">
        <v>4904419.74</v>
      </c>
      <c r="AX6" s="58">
        <v>5081482.3</v>
      </c>
      <c r="AY6" s="58">
        <v>5259960.3899999997</v>
      </c>
      <c r="AZ6" s="58">
        <v>5443453.9299999997</v>
      </c>
      <c r="BA6" s="58">
        <v>3550152.21</v>
      </c>
      <c r="BB6" s="58">
        <v>5628306.8399999999</v>
      </c>
      <c r="BC6" s="58">
        <v>5819080.04</v>
      </c>
      <c r="BD6" s="58">
        <v>6024414.8399999999</v>
      </c>
      <c r="BE6" s="58">
        <v>6231150.3899999997</v>
      </c>
      <c r="BF6" s="58">
        <v>6439259.2000000002</v>
      </c>
      <c r="BG6" s="58">
        <v>6648714.7800000003</v>
      </c>
      <c r="BH6" s="58">
        <v>6859489.6299999999</v>
      </c>
      <c r="BI6" s="58">
        <v>7071557.25</v>
      </c>
      <c r="BJ6" s="58">
        <v>7284891.1500000004</v>
      </c>
      <c r="BK6" s="58">
        <v>7499467.7599999998</v>
      </c>
      <c r="BL6" s="58">
        <v>7715259.5899999999</v>
      </c>
      <c r="BM6" s="58">
        <v>7935994.0700000003</v>
      </c>
      <c r="BN6" s="58">
        <v>5628306.8399999999</v>
      </c>
      <c r="BO6" s="58">
        <v>8143425.8099999996</v>
      </c>
      <c r="BP6" s="58">
        <v>8356853.0300000003</v>
      </c>
      <c r="BQ6" s="58">
        <v>8571270.1699999999</v>
      </c>
      <c r="BR6" s="58">
        <v>8786656.1699999999</v>
      </c>
      <c r="BS6" s="58">
        <v>9002989.9700000007</v>
      </c>
      <c r="BT6" s="58">
        <v>9220252.5099999998</v>
      </c>
      <c r="BU6" s="58">
        <v>9438426.2400000002</v>
      </c>
      <c r="BV6" s="58">
        <v>9657494.6099999994</v>
      </c>
      <c r="BW6" s="58">
        <v>9877436.5600000005</v>
      </c>
      <c r="BX6" s="58">
        <v>10098235.539999999</v>
      </c>
      <c r="BY6" s="58">
        <v>10319875</v>
      </c>
      <c r="BZ6" s="58">
        <v>10542337.390000001</v>
      </c>
      <c r="CA6" s="58">
        <v>8143425.8099999996</v>
      </c>
      <c r="CB6" s="58">
        <v>10765606.16</v>
      </c>
      <c r="CC6" s="58">
        <v>10996932.76</v>
      </c>
      <c r="CD6" s="58">
        <v>11229025.15</v>
      </c>
      <c r="CE6" s="58">
        <v>11461867.779999999</v>
      </c>
      <c r="CF6" s="58">
        <v>11695445.609999999</v>
      </c>
      <c r="CG6" s="58">
        <v>11929743.09</v>
      </c>
      <c r="CH6" s="58">
        <v>12164746.18</v>
      </c>
      <c r="CI6" s="58">
        <v>12400442.84</v>
      </c>
      <c r="CJ6" s="58">
        <v>12636818.029999999</v>
      </c>
      <c r="CK6" s="58">
        <v>12877486.710000001</v>
      </c>
      <c r="CL6" s="58">
        <v>13121055.84</v>
      </c>
      <c r="CM6" s="58">
        <v>13365264.380000001</v>
      </c>
      <c r="CN6" s="58">
        <v>10765606.16</v>
      </c>
      <c r="CO6" s="58">
        <v>0</v>
      </c>
    </row>
    <row r="7" spans="1:93" ht="14.4" x14ac:dyDescent="0.3">
      <c r="A7" s="56" t="s">
        <v>216</v>
      </c>
      <c r="B7" s="58">
        <v>35290</v>
      </c>
      <c r="C7" s="58">
        <v>37750.800000000003</v>
      </c>
      <c r="D7" s="58">
        <v>40159.4</v>
      </c>
      <c r="E7" s="58">
        <v>42521.31</v>
      </c>
      <c r="F7" s="58">
        <v>45857.53</v>
      </c>
      <c r="G7" s="58">
        <v>49259.57</v>
      </c>
      <c r="H7" s="58">
        <v>53594.43</v>
      </c>
      <c r="I7" s="58">
        <v>56861.11</v>
      </c>
      <c r="J7" s="58">
        <v>60064.12</v>
      </c>
      <c r="K7" s="58">
        <v>63203.46</v>
      </c>
      <c r="L7" s="58">
        <v>66278.13</v>
      </c>
      <c r="M7" s="58">
        <v>69292.639999999999</v>
      </c>
      <c r="N7" s="58">
        <v>620132.5</v>
      </c>
      <c r="O7" s="58">
        <v>86874.99</v>
      </c>
      <c r="P7" s="58">
        <v>89705.18</v>
      </c>
      <c r="Q7" s="58">
        <v>92479.72</v>
      </c>
      <c r="R7" s="58">
        <v>95199.61</v>
      </c>
      <c r="S7" s="58">
        <v>97863.85</v>
      </c>
      <c r="T7" s="58">
        <v>100473.44</v>
      </c>
      <c r="U7" s="58">
        <v>103030.89</v>
      </c>
      <c r="V7" s="58">
        <v>105537.2</v>
      </c>
      <c r="W7" s="58">
        <v>107995.88</v>
      </c>
      <c r="X7" s="58">
        <v>110402.42</v>
      </c>
      <c r="Y7" s="58">
        <v>112761.33</v>
      </c>
      <c r="Z7" s="58">
        <v>115072.61</v>
      </c>
      <c r="AA7" s="58">
        <v>1217397.1200000001</v>
      </c>
      <c r="AB7" s="58">
        <v>126646.77</v>
      </c>
      <c r="AC7" s="58">
        <v>128816.3</v>
      </c>
      <c r="AD7" s="58">
        <v>136817.71</v>
      </c>
      <c r="AE7" s="58">
        <v>138903.51</v>
      </c>
      <c r="AF7" s="58">
        <v>140946.19</v>
      </c>
      <c r="AG7" s="58">
        <v>142949.26</v>
      </c>
      <c r="AH7" s="58">
        <v>144909.21</v>
      </c>
      <c r="AI7" s="58">
        <v>146834.06</v>
      </c>
      <c r="AJ7" s="58">
        <v>148718.29999999999</v>
      </c>
      <c r="AK7" s="58">
        <v>150562.93</v>
      </c>
      <c r="AL7" s="58">
        <v>152372.46</v>
      </c>
      <c r="AM7" s="58">
        <v>154145.89000000001</v>
      </c>
      <c r="AN7" s="58">
        <v>1712622.59</v>
      </c>
      <c r="AO7" s="58">
        <v>160704.01999999999</v>
      </c>
      <c r="AP7" s="58">
        <v>162562.96</v>
      </c>
      <c r="AQ7" s="58">
        <v>167942.6</v>
      </c>
      <c r="AR7" s="58">
        <v>169541.65</v>
      </c>
      <c r="AS7" s="58">
        <v>171108.11</v>
      </c>
      <c r="AT7" s="58">
        <v>172642.98</v>
      </c>
      <c r="AU7" s="58">
        <v>174146.26</v>
      </c>
      <c r="AV7" s="58">
        <v>175618.95</v>
      </c>
      <c r="AW7" s="58">
        <v>177062.56</v>
      </c>
      <c r="AX7" s="58">
        <v>178478.09</v>
      </c>
      <c r="AY7" s="58">
        <v>183493.54</v>
      </c>
      <c r="AZ7" s="58">
        <v>184852.91</v>
      </c>
      <c r="BA7" s="58">
        <v>2078154.63</v>
      </c>
      <c r="BB7" s="58">
        <v>190773.2</v>
      </c>
      <c r="BC7" s="58">
        <v>205334.8</v>
      </c>
      <c r="BD7" s="58">
        <v>206735.55</v>
      </c>
      <c r="BE7" s="58">
        <v>208108.81</v>
      </c>
      <c r="BF7" s="58">
        <v>209455.58</v>
      </c>
      <c r="BG7" s="58">
        <v>210774.85</v>
      </c>
      <c r="BH7" s="58">
        <v>212067.62</v>
      </c>
      <c r="BI7" s="58">
        <v>213333.9</v>
      </c>
      <c r="BJ7" s="58">
        <v>214576.61</v>
      </c>
      <c r="BK7" s="58">
        <v>215791.83</v>
      </c>
      <c r="BL7" s="58">
        <v>220734.48</v>
      </c>
      <c r="BM7" s="58">
        <v>207431.74</v>
      </c>
      <c r="BN7" s="58">
        <v>2515118.9700000002</v>
      </c>
      <c r="BO7" s="58">
        <v>213427.22</v>
      </c>
      <c r="BP7" s="58">
        <v>214417.14</v>
      </c>
      <c r="BQ7" s="58">
        <v>215386</v>
      </c>
      <c r="BR7" s="58">
        <v>216333.8</v>
      </c>
      <c r="BS7" s="58">
        <v>217262.54</v>
      </c>
      <c r="BT7" s="58">
        <v>218173.73</v>
      </c>
      <c r="BU7" s="58">
        <v>219068.37</v>
      </c>
      <c r="BV7" s="58">
        <v>219941.95</v>
      </c>
      <c r="BW7" s="58">
        <v>220798.98</v>
      </c>
      <c r="BX7" s="58">
        <v>221639.46</v>
      </c>
      <c r="BY7" s="58">
        <v>222462.39</v>
      </c>
      <c r="BZ7" s="58">
        <v>223268.77</v>
      </c>
      <c r="CA7" s="58">
        <v>2622180.35</v>
      </c>
      <c r="CB7" s="58">
        <v>231326.6</v>
      </c>
      <c r="CC7" s="58">
        <v>232092.39</v>
      </c>
      <c r="CD7" s="58">
        <v>232842.63</v>
      </c>
      <c r="CE7" s="58">
        <v>233577.83</v>
      </c>
      <c r="CF7" s="58">
        <v>234297.48</v>
      </c>
      <c r="CG7" s="58">
        <v>235003.09</v>
      </c>
      <c r="CH7" s="58">
        <v>235696.66</v>
      </c>
      <c r="CI7" s="58">
        <v>236375.19</v>
      </c>
      <c r="CJ7" s="58">
        <v>240668.68</v>
      </c>
      <c r="CK7" s="58">
        <v>243569.13</v>
      </c>
      <c r="CL7" s="58">
        <v>244208.54</v>
      </c>
      <c r="CM7" s="58">
        <v>244833.91</v>
      </c>
      <c r="CN7" s="58">
        <v>2844492.13</v>
      </c>
      <c r="CO7" s="58">
        <v>13610098.289999999</v>
      </c>
    </row>
    <row r="8" spans="1:93" ht="14.4" x14ac:dyDescent="0.3">
      <c r="A8" s="56" t="s">
        <v>217</v>
      </c>
      <c r="B8" s="58">
        <v>35290</v>
      </c>
      <c r="C8" s="58">
        <v>73040.800000000003</v>
      </c>
      <c r="D8" s="58">
        <v>113200.2</v>
      </c>
      <c r="E8" s="58">
        <v>155721.51</v>
      </c>
      <c r="F8" s="58">
        <v>201579.04</v>
      </c>
      <c r="G8" s="58">
        <v>250838.61</v>
      </c>
      <c r="H8" s="58">
        <v>304433.03999999998</v>
      </c>
      <c r="I8" s="58">
        <v>361294.15</v>
      </c>
      <c r="J8" s="58">
        <v>421358.27</v>
      </c>
      <c r="K8" s="58">
        <v>484561.73</v>
      </c>
      <c r="L8" s="58">
        <v>550839.86</v>
      </c>
      <c r="M8" s="58">
        <v>620132.5</v>
      </c>
      <c r="N8" s="58">
        <v>620132.5</v>
      </c>
      <c r="O8" s="58">
        <v>707007.49</v>
      </c>
      <c r="P8" s="58">
        <v>796712.67</v>
      </c>
      <c r="Q8" s="58">
        <v>889192.39</v>
      </c>
      <c r="R8" s="58">
        <v>984392</v>
      </c>
      <c r="S8" s="58">
        <v>1082255.8500000001</v>
      </c>
      <c r="T8" s="58">
        <v>1182729.29</v>
      </c>
      <c r="U8" s="58">
        <v>1285760.18</v>
      </c>
      <c r="V8" s="58">
        <v>1391297.38</v>
      </c>
      <c r="W8" s="58">
        <v>1499293.26</v>
      </c>
      <c r="X8" s="58">
        <v>1609695.68</v>
      </c>
      <c r="Y8" s="58">
        <v>1722457.01</v>
      </c>
      <c r="Z8" s="58">
        <v>1837529.62</v>
      </c>
      <c r="AA8" s="58">
        <v>1837529.62</v>
      </c>
      <c r="AB8" s="58">
        <v>1964176.39</v>
      </c>
      <c r="AC8" s="58">
        <v>2092992.69</v>
      </c>
      <c r="AD8" s="58">
        <v>2229810.4</v>
      </c>
      <c r="AE8" s="58">
        <v>2368713.91</v>
      </c>
      <c r="AF8" s="58">
        <v>2509660.1</v>
      </c>
      <c r="AG8" s="58">
        <v>2652609.36</v>
      </c>
      <c r="AH8" s="58">
        <v>2797518.57</v>
      </c>
      <c r="AI8" s="58">
        <v>2944352.63</v>
      </c>
      <c r="AJ8" s="58">
        <v>3093070.93</v>
      </c>
      <c r="AK8" s="58">
        <v>3243633.86</v>
      </c>
      <c r="AL8" s="58">
        <v>3396006.32</v>
      </c>
      <c r="AM8" s="58">
        <v>3550152.21</v>
      </c>
      <c r="AN8" s="58">
        <v>3550152.21</v>
      </c>
      <c r="AO8" s="58">
        <v>3710856.23</v>
      </c>
      <c r="AP8" s="58">
        <v>3873419.19</v>
      </c>
      <c r="AQ8" s="58">
        <v>4041361.79</v>
      </c>
      <c r="AR8" s="58">
        <v>4210903.4400000004</v>
      </c>
      <c r="AS8" s="58">
        <v>4382011.55</v>
      </c>
      <c r="AT8" s="58">
        <v>4554654.53</v>
      </c>
      <c r="AU8" s="58">
        <v>4728800.79</v>
      </c>
      <c r="AV8" s="58">
        <v>4904419.74</v>
      </c>
      <c r="AW8" s="58">
        <v>5081482.3</v>
      </c>
      <c r="AX8" s="58">
        <v>5259960.3899999997</v>
      </c>
      <c r="AY8" s="58">
        <v>5443453.9299999997</v>
      </c>
      <c r="AZ8" s="58">
        <v>5628306.8399999999</v>
      </c>
      <c r="BA8" s="58">
        <v>5628306.8399999999</v>
      </c>
      <c r="BB8" s="58">
        <v>5819080.04</v>
      </c>
      <c r="BC8" s="58">
        <v>6024414.8399999999</v>
      </c>
      <c r="BD8" s="58">
        <v>6231150.3899999997</v>
      </c>
      <c r="BE8" s="58">
        <v>6439259.2000000002</v>
      </c>
      <c r="BF8" s="58">
        <v>6648714.7800000003</v>
      </c>
      <c r="BG8" s="58">
        <v>6859489.6299999999</v>
      </c>
      <c r="BH8" s="58">
        <v>7071557.25</v>
      </c>
      <c r="BI8" s="58">
        <v>7284891.1500000004</v>
      </c>
      <c r="BJ8" s="58">
        <v>7499467.7599999998</v>
      </c>
      <c r="BK8" s="58">
        <v>7715259.5899999999</v>
      </c>
      <c r="BL8" s="58">
        <v>7935994.0700000003</v>
      </c>
      <c r="BM8" s="58">
        <v>8143425.8099999996</v>
      </c>
      <c r="BN8" s="58">
        <v>8143425.8099999996</v>
      </c>
      <c r="BO8" s="58">
        <v>8356853.0300000003</v>
      </c>
      <c r="BP8" s="58">
        <v>8571270.1699999999</v>
      </c>
      <c r="BQ8" s="58">
        <v>8786656.1699999999</v>
      </c>
      <c r="BR8" s="58">
        <v>9002989.9700000007</v>
      </c>
      <c r="BS8" s="58">
        <v>9220252.5099999998</v>
      </c>
      <c r="BT8" s="58">
        <v>9438426.2400000002</v>
      </c>
      <c r="BU8" s="58">
        <v>9657494.6099999994</v>
      </c>
      <c r="BV8" s="58">
        <v>9877436.5600000005</v>
      </c>
      <c r="BW8" s="58">
        <v>10098235.539999999</v>
      </c>
      <c r="BX8" s="58">
        <v>10319875</v>
      </c>
      <c r="BY8" s="58">
        <v>10542337.390000001</v>
      </c>
      <c r="BZ8" s="58">
        <v>10765606.16</v>
      </c>
      <c r="CA8" s="58">
        <v>10765606.16</v>
      </c>
      <c r="CB8" s="58">
        <v>10996932.76</v>
      </c>
      <c r="CC8" s="58">
        <v>11229025.15</v>
      </c>
      <c r="CD8" s="58">
        <v>11461867.779999999</v>
      </c>
      <c r="CE8" s="58">
        <v>11695445.609999999</v>
      </c>
      <c r="CF8" s="58">
        <v>11929743.09</v>
      </c>
      <c r="CG8" s="58">
        <v>12164746.18</v>
      </c>
      <c r="CH8" s="58">
        <v>12400442.84</v>
      </c>
      <c r="CI8" s="58">
        <v>12636818.029999999</v>
      </c>
      <c r="CJ8" s="58">
        <v>12877486.710000001</v>
      </c>
      <c r="CK8" s="58">
        <v>13121055.84</v>
      </c>
      <c r="CL8" s="58">
        <v>13365264.380000001</v>
      </c>
      <c r="CM8" s="58">
        <v>13610098.289999999</v>
      </c>
      <c r="CN8" s="58">
        <v>13610098.289999999</v>
      </c>
      <c r="CO8" s="58">
        <v>13610098.289999999</v>
      </c>
    </row>
    <row r="9" spans="1:93" ht="14.4" x14ac:dyDescent="0.3">
      <c r="A9" s="56" t="s">
        <v>169</v>
      </c>
    </row>
    <row r="10" spans="1:93" ht="14.4" x14ac:dyDescent="0.3">
      <c r="A10" s="56" t="s">
        <v>218</v>
      </c>
      <c r="B10" s="56" t="s">
        <v>219</v>
      </c>
      <c r="C10" s="56" t="s">
        <v>219</v>
      </c>
      <c r="D10" s="56" t="s">
        <v>219</v>
      </c>
      <c r="E10" s="56" t="s">
        <v>219</v>
      </c>
      <c r="F10" s="56" t="s">
        <v>219</v>
      </c>
      <c r="G10" s="56" t="s">
        <v>219</v>
      </c>
      <c r="H10" s="56" t="s">
        <v>219</v>
      </c>
      <c r="I10" s="56" t="s">
        <v>219</v>
      </c>
      <c r="J10" s="56" t="s">
        <v>219</v>
      </c>
      <c r="K10" s="56" t="s">
        <v>219</v>
      </c>
      <c r="L10" s="56" t="s">
        <v>219</v>
      </c>
      <c r="M10" s="56" t="s">
        <v>219</v>
      </c>
      <c r="N10" s="56" t="s">
        <v>219</v>
      </c>
      <c r="O10" s="56" t="s">
        <v>219</v>
      </c>
      <c r="P10" s="56" t="s">
        <v>220</v>
      </c>
      <c r="Q10" s="56" t="s">
        <v>220</v>
      </c>
      <c r="R10" s="56" t="s">
        <v>220</v>
      </c>
      <c r="S10" s="56" t="s">
        <v>220</v>
      </c>
      <c r="T10" s="56" t="s">
        <v>220</v>
      </c>
      <c r="U10" s="56" t="s">
        <v>220</v>
      </c>
      <c r="V10" s="56" t="s">
        <v>220</v>
      </c>
      <c r="W10" s="56" t="s">
        <v>220</v>
      </c>
      <c r="X10" s="56" t="s">
        <v>220</v>
      </c>
      <c r="Y10" s="56" t="s">
        <v>220</v>
      </c>
      <c r="Z10" s="56" t="s">
        <v>220</v>
      </c>
      <c r="AA10" s="56" t="s">
        <v>220</v>
      </c>
      <c r="AB10" s="56" t="s">
        <v>220</v>
      </c>
      <c r="AC10" s="56" t="s">
        <v>220</v>
      </c>
      <c r="AD10" s="56" t="s">
        <v>220</v>
      </c>
      <c r="AE10" s="56" t="s">
        <v>220</v>
      </c>
      <c r="AF10" s="56" t="s">
        <v>220</v>
      </c>
      <c r="AG10" s="56" t="s">
        <v>220</v>
      </c>
      <c r="AH10" s="56" t="s">
        <v>220</v>
      </c>
      <c r="AI10" s="56" t="s">
        <v>220</v>
      </c>
      <c r="AJ10" s="56" t="s">
        <v>220</v>
      </c>
      <c r="AK10" s="56" t="s">
        <v>220</v>
      </c>
      <c r="AL10" s="56" t="s">
        <v>220</v>
      </c>
      <c r="AM10" s="56" t="s">
        <v>220</v>
      </c>
      <c r="AN10" s="56" t="s">
        <v>220</v>
      </c>
      <c r="AO10" s="56" t="s">
        <v>220</v>
      </c>
      <c r="AP10" s="56" t="s">
        <v>220</v>
      </c>
      <c r="AQ10" s="56" t="s">
        <v>220</v>
      </c>
      <c r="AR10" s="56" t="s">
        <v>220</v>
      </c>
      <c r="AS10" s="56" t="s">
        <v>220</v>
      </c>
      <c r="AT10" s="56" t="s">
        <v>220</v>
      </c>
      <c r="AU10" s="56" t="s">
        <v>220</v>
      </c>
      <c r="AV10" s="56" t="s">
        <v>220</v>
      </c>
      <c r="AW10" s="56" t="s">
        <v>220</v>
      </c>
      <c r="AX10" s="56" t="s">
        <v>220</v>
      </c>
      <c r="AY10" s="56" t="s">
        <v>220</v>
      </c>
      <c r="AZ10" s="56" t="s">
        <v>220</v>
      </c>
      <c r="BA10" s="56" t="s">
        <v>220</v>
      </c>
      <c r="BB10" s="56" t="s">
        <v>220</v>
      </c>
      <c r="BC10" s="56" t="s">
        <v>220</v>
      </c>
      <c r="BD10" s="56" t="s">
        <v>220</v>
      </c>
      <c r="BE10" s="56" t="s">
        <v>220</v>
      </c>
      <c r="BF10" s="56" t="s">
        <v>220</v>
      </c>
      <c r="BG10" s="56" t="s">
        <v>220</v>
      </c>
      <c r="BH10" s="56" t="s">
        <v>220</v>
      </c>
      <c r="BI10" s="56" t="s">
        <v>220</v>
      </c>
      <c r="BJ10" s="56" t="s">
        <v>220</v>
      </c>
      <c r="BK10" s="56" t="s">
        <v>220</v>
      </c>
      <c r="BL10" s="56" t="s">
        <v>220</v>
      </c>
      <c r="BM10" s="56" t="s">
        <v>220</v>
      </c>
      <c r="BN10" s="56" t="s">
        <v>220</v>
      </c>
      <c r="BO10" s="56" t="s">
        <v>220</v>
      </c>
      <c r="BP10" s="56" t="s">
        <v>220</v>
      </c>
      <c r="BQ10" s="56" t="s">
        <v>220</v>
      </c>
      <c r="BR10" s="56" t="s">
        <v>220</v>
      </c>
      <c r="BS10" s="56" t="s">
        <v>220</v>
      </c>
      <c r="BT10" s="56" t="s">
        <v>220</v>
      </c>
      <c r="BU10" s="56" t="s">
        <v>220</v>
      </c>
      <c r="BV10" s="56" t="s">
        <v>220</v>
      </c>
      <c r="BW10" s="56" t="s">
        <v>220</v>
      </c>
      <c r="BX10" s="56" t="s">
        <v>220</v>
      </c>
      <c r="BY10" s="56" t="s">
        <v>220</v>
      </c>
      <c r="BZ10" s="56" t="s">
        <v>220</v>
      </c>
      <c r="CA10" s="56" t="s">
        <v>220</v>
      </c>
      <c r="CB10" s="56" t="s">
        <v>220</v>
      </c>
      <c r="CC10" s="56" t="s">
        <v>220</v>
      </c>
      <c r="CD10" s="56" t="s">
        <v>220</v>
      </c>
      <c r="CE10" s="56" t="s">
        <v>220</v>
      </c>
      <c r="CF10" s="56" t="s">
        <v>220</v>
      </c>
      <c r="CG10" s="56" t="s">
        <v>220</v>
      </c>
      <c r="CH10" s="56" t="s">
        <v>220</v>
      </c>
      <c r="CI10" s="56" t="s">
        <v>220</v>
      </c>
      <c r="CJ10" s="56" t="s">
        <v>220</v>
      </c>
      <c r="CK10" s="56" t="s">
        <v>220</v>
      </c>
      <c r="CL10" s="56" t="s">
        <v>220</v>
      </c>
      <c r="CM10" s="56" t="s">
        <v>220</v>
      </c>
      <c r="CN10" s="56" t="s">
        <v>220</v>
      </c>
      <c r="CO10" s="56" t="s">
        <v>220</v>
      </c>
    </row>
    <row r="11" spans="1:93" ht="14.4" x14ac:dyDescent="0.3">
      <c r="A11" s="56" t="s">
        <v>221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6" t="s">
        <v>88</v>
      </c>
      <c r="Q11" s="57">
        <v>0</v>
      </c>
      <c r="R11" s="57">
        <v>0</v>
      </c>
      <c r="S11" s="57">
        <v>0</v>
      </c>
      <c r="T11" s="57">
        <v>0</v>
      </c>
      <c r="U11" s="57">
        <v>0</v>
      </c>
      <c r="V11" s="57">
        <v>0</v>
      </c>
      <c r="W11" s="57">
        <v>0</v>
      </c>
      <c r="X11" s="57">
        <v>0</v>
      </c>
      <c r="Y11" s="57">
        <v>0</v>
      </c>
      <c r="Z11" s="57">
        <v>0</v>
      </c>
      <c r="AA11" s="56" t="s">
        <v>88</v>
      </c>
      <c r="AB11" s="57">
        <v>0</v>
      </c>
      <c r="AC11" s="57">
        <v>0</v>
      </c>
      <c r="AD11" s="57">
        <v>0</v>
      </c>
      <c r="AE11" s="57">
        <v>0</v>
      </c>
      <c r="AF11" s="57">
        <v>0</v>
      </c>
      <c r="AG11" s="57">
        <v>0</v>
      </c>
      <c r="AH11" s="57">
        <v>0</v>
      </c>
      <c r="AI11" s="57">
        <v>0</v>
      </c>
      <c r="AJ11" s="57">
        <v>0</v>
      </c>
      <c r="AK11" s="57">
        <v>0</v>
      </c>
      <c r="AL11" s="57">
        <v>0</v>
      </c>
      <c r="AM11" s="57">
        <v>0</v>
      </c>
      <c r="AN11" s="57">
        <v>0</v>
      </c>
      <c r="AO11" s="57">
        <v>0</v>
      </c>
      <c r="AP11" s="57">
        <v>0</v>
      </c>
      <c r="AQ11" s="57">
        <v>0</v>
      </c>
      <c r="AR11" s="57">
        <v>0</v>
      </c>
      <c r="AS11" s="57">
        <v>0</v>
      </c>
      <c r="AT11" s="57">
        <v>0</v>
      </c>
      <c r="AU11" s="57">
        <v>0</v>
      </c>
      <c r="AV11" s="57">
        <v>0</v>
      </c>
      <c r="AW11" s="57">
        <v>0</v>
      </c>
      <c r="AX11" s="57">
        <v>0</v>
      </c>
      <c r="AY11" s="57">
        <v>0</v>
      </c>
      <c r="AZ11" s="57">
        <v>0</v>
      </c>
      <c r="BA11" s="57">
        <v>0</v>
      </c>
      <c r="BB11" s="57">
        <v>0</v>
      </c>
      <c r="BC11" s="57">
        <v>0</v>
      </c>
      <c r="BD11" s="57">
        <v>0</v>
      </c>
      <c r="BE11" s="57">
        <v>0</v>
      </c>
      <c r="BF11" s="57">
        <v>0</v>
      </c>
      <c r="BG11" s="57">
        <v>0</v>
      </c>
      <c r="BH11" s="57">
        <v>0</v>
      </c>
      <c r="BI11" s="57">
        <v>0</v>
      </c>
      <c r="BJ11" s="57">
        <v>0</v>
      </c>
      <c r="BK11" s="57">
        <v>0</v>
      </c>
      <c r="BL11" s="57">
        <v>0</v>
      </c>
      <c r="BM11" s="57">
        <v>0</v>
      </c>
      <c r="BN11" s="57">
        <v>0</v>
      </c>
      <c r="BO11" s="57">
        <v>0</v>
      </c>
      <c r="BP11" s="57">
        <v>0</v>
      </c>
      <c r="BQ11" s="57">
        <v>0</v>
      </c>
      <c r="BR11" s="57">
        <v>0</v>
      </c>
      <c r="BS11" s="57">
        <v>0</v>
      </c>
      <c r="BT11" s="57">
        <v>0</v>
      </c>
      <c r="BU11" s="57">
        <v>0</v>
      </c>
      <c r="BV11" s="57">
        <v>0</v>
      </c>
      <c r="BW11" s="57">
        <v>0</v>
      </c>
      <c r="BX11" s="57">
        <v>0</v>
      </c>
      <c r="BY11" s="57">
        <v>0</v>
      </c>
      <c r="BZ11" s="57">
        <v>0</v>
      </c>
      <c r="CA11" s="57">
        <v>0</v>
      </c>
      <c r="CB11" s="57">
        <v>0</v>
      </c>
      <c r="CC11" s="57">
        <v>0</v>
      </c>
      <c r="CD11" s="57">
        <v>0</v>
      </c>
      <c r="CE11" s="57">
        <v>0</v>
      </c>
      <c r="CF11" s="57">
        <v>0</v>
      </c>
      <c r="CG11" s="57">
        <v>0</v>
      </c>
      <c r="CH11" s="57">
        <v>0</v>
      </c>
      <c r="CI11" s="57">
        <v>0</v>
      </c>
      <c r="CJ11" s="57">
        <v>0</v>
      </c>
      <c r="CK11" s="57">
        <v>0</v>
      </c>
      <c r="CL11" s="57">
        <v>0</v>
      </c>
      <c r="CM11" s="57">
        <v>0</v>
      </c>
      <c r="CN11" s="57">
        <v>0</v>
      </c>
      <c r="CO11" s="56" t="s">
        <v>88</v>
      </c>
    </row>
    <row r="12" spans="1:93" ht="14.4" x14ac:dyDescent="0.3">
      <c r="A12" s="56" t="s">
        <v>222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56" t="s">
        <v>223</v>
      </c>
      <c r="Q12" s="57">
        <v>0</v>
      </c>
      <c r="R12" s="57">
        <v>0</v>
      </c>
      <c r="S12" s="57">
        <v>0</v>
      </c>
      <c r="T12" s="57">
        <v>0</v>
      </c>
      <c r="U12" s="57">
        <v>0</v>
      </c>
      <c r="V12" s="57">
        <v>0</v>
      </c>
      <c r="W12" s="57">
        <v>0</v>
      </c>
      <c r="X12" s="57">
        <v>0</v>
      </c>
      <c r="Y12" s="57">
        <v>0</v>
      </c>
      <c r="Z12" s="57">
        <v>0</v>
      </c>
      <c r="AA12" s="56" t="s">
        <v>223</v>
      </c>
      <c r="AB12" s="57">
        <v>0</v>
      </c>
      <c r="AC12" s="57">
        <v>0</v>
      </c>
      <c r="AD12" s="57">
        <v>0</v>
      </c>
      <c r="AE12" s="57">
        <v>0</v>
      </c>
      <c r="AF12" s="57">
        <v>0</v>
      </c>
      <c r="AG12" s="57">
        <v>0</v>
      </c>
      <c r="AH12" s="57">
        <v>0</v>
      </c>
      <c r="AI12" s="57">
        <v>0</v>
      </c>
      <c r="AJ12" s="57">
        <v>0</v>
      </c>
      <c r="AK12" s="57">
        <v>0</v>
      </c>
      <c r="AL12" s="57">
        <v>0</v>
      </c>
      <c r="AM12" s="57">
        <v>0</v>
      </c>
      <c r="AN12" s="57">
        <v>0</v>
      </c>
      <c r="AO12" s="57">
        <v>0</v>
      </c>
      <c r="AP12" s="57">
        <v>0</v>
      </c>
      <c r="AQ12" s="57">
        <v>0</v>
      </c>
      <c r="AR12" s="57">
        <v>0</v>
      </c>
      <c r="AS12" s="57">
        <v>0</v>
      </c>
      <c r="AT12" s="57">
        <v>0</v>
      </c>
      <c r="AU12" s="57">
        <v>0</v>
      </c>
      <c r="AV12" s="57">
        <v>0</v>
      </c>
      <c r="AW12" s="57">
        <v>0</v>
      </c>
      <c r="AX12" s="57">
        <v>0</v>
      </c>
      <c r="AY12" s="57">
        <v>0</v>
      </c>
      <c r="AZ12" s="57">
        <v>0</v>
      </c>
      <c r="BA12" s="57">
        <v>0</v>
      </c>
      <c r="BB12" s="57">
        <v>0</v>
      </c>
      <c r="BC12" s="57">
        <v>0</v>
      </c>
      <c r="BD12" s="57">
        <v>0</v>
      </c>
      <c r="BE12" s="57">
        <v>0</v>
      </c>
      <c r="BF12" s="57">
        <v>0</v>
      </c>
      <c r="BG12" s="57">
        <v>0</v>
      </c>
      <c r="BH12" s="57">
        <v>0</v>
      </c>
      <c r="BI12" s="57">
        <v>0</v>
      </c>
      <c r="BJ12" s="57">
        <v>0</v>
      </c>
      <c r="BK12" s="57">
        <v>0</v>
      </c>
      <c r="BL12" s="57">
        <v>0</v>
      </c>
      <c r="BM12" s="57">
        <v>0</v>
      </c>
      <c r="BN12" s="57">
        <v>0</v>
      </c>
      <c r="BO12" s="57">
        <v>0</v>
      </c>
      <c r="BP12" s="57">
        <v>0</v>
      </c>
      <c r="BQ12" s="57">
        <v>0</v>
      </c>
      <c r="BR12" s="57">
        <v>0</v>
      </c>
      <c r="BS12" s="57">
        <v>0</v>
      </c>
      <c r="BT12" s="57">
        <v>0</v>
      </c>
      <c r="BU12" s="57">
        <v>0</v>
      </c>
      <c r="BV12" s="57">
        <v>0</v>
      </c>
      <c r="BW12" s="57">
        <v>0</v>
      </c>
      <c r="BX12" s="57">
        <v>0</v>
      </c>
      <c r="BY12" s="57">
        <v>0</v>
      </c>
      <c r="BZ12" s="57">
        <v>0</v>
      </c>
      <c r="CA12" s="57">
        <v>0</v>
      </c>
      <c r="CB12" s="57">
        <v>0</v>
      </c>
      <c r="CC12" s="57">
        <v>0</v>
      </c>
      <c r="CD12" s="57">
        <v>0</v>
      </c>
      <c r="CE12" s="57">
        <v>0</v>
      </c>
      <c r="CF12" s="57">
        <v>0</v>
      </c>
      <c r="CG12" s="57">
        <v>0</v>
      </c>
      <c r="CH12" s="57">
        <v>0</v>
      </c>
      <c r="CI12" s="57">
        <v>0</v>
      </c>
      <c r="CJ12" s="57">
        <v>0</v>
      </c>
      <c r="CK12" s="57">
        <v>0</v>
      </c>
      <c r="CL12" s="57">
        <v>0</v>
      </c>
      <c r="CM12" s="57">
        <v>0</v>
      </c>
      <c r="CN12" s="57">
        <v>0</v>
      </c>
      <c r="CO12" s="56" t="s">
        <v>223</v>
      </c>
    </row>
    <row r="13" spans="1:93" ht="14.4" x14ac:dyDescent="0.3">
      <c r="A13" s="56" t="s">
        <v>224</v>
      </c>
      <c r="B13" s="58">
        <v>35290</v>
      </c>
      <c r="C13" s="58">
        <v>73040.800000000003</v>
      </c>
      <c r="D13" s="58">
        <v>113200.2</v>
      </c>
      <c r="E13" s="58">
        <v>155721.51</v>
      </c>
      <c r="F13" s="58">
        <v>201579.04</v>
      </c>
      <c r="G13" s="58">
        <v>250838.61</v>
      </c>
      <c r="H13" s="58">
        <v>304433.03999999998</v>
      </c>
      <c r="I13" s="58">
        <v>361294.15</v>
      </c>
      <c r="J13" s="58">
        <v>421358.27</v>
      </c>
      <c r="K13" s="58">
        <v>484561.73</v>
      </c>
      <c r="L13" s="58">
        <v>550839.86</v>
      </c>
      <c r="M13" s="58">
        <v>620132.5</v>
      </c>
      <c r="N13" s="58">
        <v>620132.5</v>
      </c>
      <c r="O13" s="58">
        <v>707007.49</v>
      </c>
      <c r="P13" s="58">
        <v>737217.39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737217.39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  <c r="AI13" s="58">
        <v>0</v>
      </c>
      <c r="AJ13" s="58">
        <v>0</v>
      </c>
      <c r="AK13" s="58">
        <v>0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v>0</v>
      </c>
      <c r="BI13" s="58">
        <v>0</v>
      </c>
      <c r="BJ13" s="58">
        <v>0</v>
      </c>
      <c r="BK13" s="58">
        <v>0</v>
      </c>
      <c r="BL13" s="58">
        <v>0</v>
      </c>
      <c r="BM13" s="58">
        <v>0</v>
      </c>
      <c r="BN13" s="58">
        <v>0</v>
      </c>
      <c r="BO13" s="58">
        <v>0</v>
      </c>
      <c r="BP13" s="58">
        <v>0</v>
      </c>
      <c r="BQ13" s="58">
        <v>0</v>
      </c>
      <c r="BR13" s="58">
        <v>0</v>
      </c>
      <c r="BS13" s="58">
        <v>0</v>
      </c>
      <c r="BT13" s="58">
        <v>0</v>
      </c>
      <c r="BU13" s="58">
        <v>0</v>
      </c>
      <c r="BV13" s="58">
        <v>0</v>
      </c>
      <c r="BW13" s="58">
        <v>0</v>
      </c>
      <c r="BX13" s="58">
        <v>0</v>
      </c>
      <c r="BY13" s="58">
        <v>0</v>
      </c>
      <c r="BZ13" s="58">
        <v>0</v>
      </c>
      <c r="CA13" s="58">
        <v>0</v>
      </c>
      <c r="CB13" s="58">
        <v>0</v>
      </c>
      <c r="CC13" s="58">
        <v>0</v>
      </c>
      <c r="CD13" s="58">
        <v>0</v>
      </c>
      <c r="CE13" s="58">
        <v>0</v>
      </c>
      <c r="CF13" s="58">
        <v>0</v>
      </c>
      <c r="CG13" s="58">
        <v>0</v>
      </c>
      <c r="CH13" s="58">
        <v>0</v>
      </c>
      <c r="CI13" s="58">
        <v>0</v>
      </c>
      <c r="CJ13" s="58">
        <v>0</v>
      </c>
      <c r="CK13" s="58">
        <v>0</v>
      </c>
      <c r="CL13" s="58">
        <v>0</v>
      </c>
      <c r="CM13" s="58">
        <v>0</v>
      </c>
      <c r="CN13" s="58">
        <v>0</v>
      </c>
      <c r="CO13" s="58">
        <v>737217.39</v>
      </c>
    </row>
    <row r="14" spans="1:93" ht="14.4" x14ac:dyDescent="0.3">
      <c r="A14" s="56" t="s">
        <v>225</v>
      </c>
    </row>
    <row r="15" spans="1:93" ht="14.4" x14ac:dyDescent="0.3">
      <c r="A15" s="56" t="s">
        <v>226</v>
      </c>
      <c r="B15" s="58">
        <v>0</v>
      </c>
      <c r="C15" s="58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526583.85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526583.85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  <c r="AI15" s="58">
        <v>0</v>
      </c>
      <c r="AJ15" s="58">
        <v>0</v>
      </c>
      <c r="AK15" s="58">
        <v>0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58">
        <v>0</v>
      </c>
      <c r="AS15" s="58">
        <v>0</v>
      </c>
      <c r="AT15" s="58">
        <v>0</v>
      </c>
      <c r="AU15" s="58">
        <v>0</v>
      </c>
      <c r="AV15" s="58">
        <v>0</v>
      </c>
      <c r="AW15" s="58">
        <v>0</v>
      </c>
      <c r="AX15" s="58">
        <v>0</v>
      </c>
      <c r="AY15" s="58">
        <v>0</v>
      </c>
      <c r="AZ15" s="58">
        <v>0</v>
      </c>
      <c r="BA15" s="58">
        <v>0</v>
      </c>
      <c r="BB15" s="58">
        <v>0</v>
      </c>
      <c r="BC15" s="58">
        <v>0</v>
      </c>
      <c r="BD15" s="58">
        <v>0</v>
      </c>
      <c r="BE15" s="58">
        <v>0</v>
      </c>
      <c r="BF15" s="58">
        <v>0</v>
      </c>
      <c r="BG15" s="58">
        <v>0</v>
      </c>
      <c r="BH15" s="58">
        <v>0</v>
      </c>
      <c r="BI15" s="58">
        <v>0</v>
      </c>
      <c r="BJ15" s="58">
        <v>0</v>
      </c>
      <c r="BK15" s="58">
        <v>0</v>
      </c>
      <c r="BL15" s="58">
        <v>0</v>
      </c>
      <c r="BM15" s="58">
        <v>0</v>
      </c>
      <c r="BN15" s="58">
        <v>0</v>
      </c>
      <c r="BO15" s="58">
        <v>0</v>
      </c>
      <c r="BP15" s="58">
        <v>0</v>
      </c>
      <c r="BQ15" s="58">
        <v>0</v>
      </c>
      <c r="BR15" s="58">
        <v>0</v>
      </c>
      <c r="BS15" s="58">
        <v>0</v>
      </c>
      <c r="BT15" s="58">
        <v>0</v>
      </c>
      <c r="BU15" s="58">
        <v>0</v>
      </c>
      <c r="BV15" s="58">
        <v>0</v>
      </c>
      <c r="BW15" s="58">
        <v>0</v>
      </c>
      <c r="BX15" s="58">
        <v>0</v>
      </c>
      <c r="BY15" s="58">
        <v>0</v>
      </c>
      <c r="BZ15" s="58">
        <v>0</v>
      </c>
      <c r="CA15" s="58">
        <v>0</v>
      </c>
      <c r="CB15" s="58">
        <v>0</v>
      </c>
      <c r="CC15" s="58">
        <v>0</v>
      </c>
      <c r="CD15" s="58">
        <v>0</v>
      </c>
      <c r="CE15" s="58">
        <v>0</v>
      </c>
      <c r="CF15" s="58">
        <v>0</v>
      </c>
      <c r="CG15" s="58">
        <v>0</v>
      </c>
      <c r="CH15" s="58">
        <v>0</v>
      </c>
      <c r="CI15" s="58">
        <v>0</v>
      </c>
      <c r="CJ15" s="58">
        <v>0</v>
      </c>
      <c r="CK15" s="58">
        <v>0</v>
      </c>
      <c r="CL15" s="58">
        <v>0</v>
      </c>
      <c r="CM15" s="58">
        <v>0</v>
      </c>
      <c r="CN15" s="58">
        <v>0</v>
      </c>
      <c r="CO15" s="58">
        <v>526583.85</v>
      </c>
    </row>
    <row r="16" spans="1:93" ht="14.4" x14ac:dyDescent="0.3">
      <c r="A16" s="56" t="s">
        <v>227</v>
      </c>
    </row>
    <row r="17" spans="1:93" ht="14.4" x14ac:dyDescent="0.3">
      <c r="A17" s="56" t="s">
        <v>228</v>
      </c>
      <c r="B17" s="58">
        <v>0</v>
      </c>
      <c r="C17" s="58">
        <v>0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210633.54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  <c r="X17" s="58">
        <v>0</v>
      </c>
      <c r="Y17" s="58">
        <v>0</v>
      </c>
      <c r="Z17" s="58">
        <v>0</v>
      </c>
      <c r="AA17" s="58">
        <v>210633.54</v>
      </c>
      <c r="AB17" s="58">
        <v>0</v>
      </c>
      <c r="AC17" s="58">
        <v>0</v>
      </c>
      <c r="AD17" s="58">
        <v>0</v>
      </c>
      <c r="AE17" s="58">
        <v>0</v>
      </c>
      <c r="AF17" s="58">
        <v>0</v>
      </c>
      <c r="AG17" s="58">
        <v>0</v>
      </c>
      <c r="AH17" s="58">
        <v>0</v>
      </c>
      <c r="AI17" s="58">
        <v>0</v>
      </c>
      <c r="AJ17" s="58">
        <v>0</v>
      </c>
      <c r="AK17" s="58">
        <v>0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58">
        <v>0</v>
      </c>
      <c r="AS17" s="58">
        <v>0</v>
      </c>
      <c r="AT17" s="58">
        <v>0</v>
      </c>
      <c r="AU17" s="58">
        <v>0</v>
      </c>
      <c r="AV17" s="58">
        <v>0</v>
      </c>
      <c r="AW17" s="58">
        <v>0</v>
      </c>
      <c r="AX17" s="58">
        <v>0</v>
      </c>
      <c r="AY17" s="58">
        <v>0</v>
      </c>
      <c r="AZ17" s="58">
        <v>0</v>
      </c>
      <c r="BA17" s="58">
        <v>0</v>
      </c>
      <c r="BB17" s="58">
        <v>0</v>
      </c>
      <c r="BC17" s="58">
        <v>0</v>
      </c>
      <c r="BD17" s="58">
        <v>0</v>
      </c>
      <c r="BE17" s="58">
        <v>0</v>
      </c>
      <c r="BF17" s="58">
        <v>0</v>
      </c>
      <c r="BG17" s="58">
        <v>0</v>
      </c>
      <c r="BH17" s="58">
        <v>0</v>
      </c>
      <c r="BI17" s="58">
        <v>0</v>
      </c>
      <c r="BJ17" s="58">
        <v>0</v>
      </c>
      <c r="BK17" s="58">
        <v>0</v>
      </c>
      <c r="BL17" s="58">
        <v>0</v>
      </c>
      <c r="BM17" s="58">
        <v>0</v>
      </c>
      <c r="BN17" s="58">
        <v>0</v>
      </c>
      <c r="BO17" s="58">
        <v>0</v>
      </c>
      <c r="BP17" s="58">
        <v>0</v>
      </c>
      <c r="BQ17" s="58">
        <v>0</v>
      </c>
      <c r="BR17" s="58">
        <v>0</v>
      </c>
      <c r="BS17" s="58">
        <v>0</v>
      </c>
      <c r="BT17" s="58">
        <v>0</v>
      </c>
      <c r="BU17" s="58">
        <v>0</v>
      </c>
      <c r="BV17" s="58">
        <v>0</v>
      </c>
      <c r="BW17" s="58">
        <v>0</v>
      </c>
      <c r="BX17" s="58">
        <v>0</v>
      </c>
      <c r="BY17" s="58">
        <v>0</v>
      </c>
      <c r="BZ17" s="58">
        <v>0</v>
      </c>
      <c r="CA17" s="58">
        <v>0</v>
      </c>
      <c r="CB17" s="58">
        <v>0</v>
      </c>
      <c r="CC17" s="58">
        <v>0</v>
      </c>
      <c r="CD17" s="58">
        <v>0</v>
      </c>
      <c r="CE17" s="58">
        <v>0</v>
      </c>
      <c r="CF17" s="58">
        <v>0</v>
      </c>
      <c r="CG17" s="58">
        <v>0</v>
      </c>
      <c r="CH17" s="58">
        <v>0</v>
      </c>
      <c r="CI17" s="58">
        <v>0</v>
      </c>
      <c r="CJ17" s="58">
        <v>0</v>
      </c>
      <c r="CK17" s="58">
        <v>0</v>
      </c>
      <c r="CL17" s="58">
        <v>0</v>
      </c>
      <c r="CM17" s="58">
        <v>0</v>
      </c>
      <c r="CN17" s="58">
        <v>0</v>
      </c>
      <c r="CO17" s="58">
        <v>210633.54</v>
      </c>
    </row>
    <row r="18" spans="1:93" ht="14.4" x14ac:dyDescent="0.3">
      <c r="A18" s="56" t="s">
        <v>229</v>
      </c>
    </row>
    <row r="19" spans="1:93" ht="14.4" x14ac:dyDescent="0.3">
      <c r="A19" s="56" t="s">
        <v>225</v>
      </c>
    </row>
    <row r="20" spans="1:93" ht="14.4" x14ac:dyDescent="0.3">
      <c r="A20" s="56" t="s">
        <v>226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9">
        <v>118.82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57">
        <v>0</v>
      </c>
      <c r="Z20" s="57">
        <v>0</v>
      </c>
      <c r="AA20" s="59">
        <v>118.82</v>
      </c>
      <c r="AB20" s="57">
        <v>0</v>
      </c>
      <c r="AC20" s="57">
        <v>0</v>
      </c>
      <c r="AD20" s="57">
        <v>0</v>
      </c>
      <c r="AE20" s="57">
        <v>0</v>
      </c>
      <c r="AF20" s="57">
        <v>0</v>
      </c>
      <c r="AG20" s="57">
        <v>0</v>
      </c>
      <c r="AH20" s="57">
        <v>0</v>
      </c>
      <c r="AI20" s="57">
        <v>0</v>
      </c>
      <c r="AJ20" s="57">
        <v>0</v>
      </c>
      <c r="AK20" s="57">
        <v>0</v>
      </c>
      <c r="AL20" s="57">
        <v>0</v>
      </c>
      <c r="AM20" s="57">
        <v>0</v>
      </c>
      <c r="AN20" s="57">
        <v>0</v>
      </c>
      <c r="AO20" s="57">
        <v>0</v>
      </c>
      <c r="AP20" s="57">
        <v>0</v>
      </c>
      <c r="AQ20" s="57">
        <v>0</v>
      </c>
      <c r="AR20" s="57">
        <v>0</v>
      </c>
      <c r="AS20" s="57">
        <v>0</v>
      </c>
      <c r="AT20" s="57">
        <v>0</v>
      </c>
      <c r="AU20" s="57">
        <v>0</v>
      </c>
      <c r="AV20" s="57">
        <v>0</v>
      </c>
      <c r="AW20" s="57">
        <v>0</v>
      </c>
      <c r="AX20" s="57">
        <v>0</v>
      </c>
      <c r="AY20" s="57">
        <v>0</v>
      </c>
      <c r="AZ20" s="57">
        <v>0</v>
      </c>
      <c r="BA20" s="57">
        <v>0</v>
      </c>
      <c r="BB20" s="57">
        <v>0</v>
      </c>
      <c r="BC20" s="57">
        <v>0</v>
      </c>
      <c r="BD20" s="57">
        <v>0</v>
      </c>
      <c r="BE20" s="57">
        <v>0</v>
      </c>
      <c r="BF20" s="57">
        <v>0</v>
      </c>
      <c r="BG20" s="57">
        <v>0</v>
      </c>
      <c r="BH20" s="57">
        <v>0</v>
      </c>
      <c r="BI20" s="57">
        <v>0</v>
      </c>
      <c r="BJ20" s="57">
        <v>0</v>
      </c>
      <c r="BK20" s="57">
        <v>0</v>
      </c>
      <c r="BL20" s="57">
        <v>0</v>
      </c>
      <c r="BM20" s="57">
        <v>0</v>
      </c>
      <c r="BN20" s="57">
        <v>0</v>
      </c>
      <c r="BO20" s="57">
        <v>0</v>
      </c>
      <c r="BP20" s="57">
        <v>0</v>
      </c>
      <c r="BQ20" s="57">
        <v>0</v>
      </c>
      <c r="BR20" s="57">
        <v>0</v>
      </c>
      <c r="BS20" s="57">
        <v>0</v>
      </c>
      <c r="BT20" s="57">
        <v>0</v>
      </c>
      <c r="BU20" s="57">
        <v>0</v>
      </c>
      <c r="BV20" s="57">
        <v>0</v>
      </c>
      <c r="BW20" s="57">
        <v>0</v>
      </c>
      <c r="BX20" s="57">
        <v>0</v>
      </c>
      <c r="BY20" s="57">
        <v>0</v>
      </c>
      <c r="BZ20" s="57">
        <v>0</v>
      </c>
      <c r="CA20" s="57">
        <v>0</v>
      </c>
      <c r="CB20" s="57">
        <v>0</v>
      </c>
      <c r="CC20" s="57">
        <v>0</v>
      </c>
      <c r="CD20" s="57">
        <v>0</v>
      </c>
      <c r="CE20" s="57">
        <v>0</v>
      </c>
      <c r="CF20" s="57">
        <v>0</v>
      </c>
      <c r="CG20" s="57">
        <v>0</v>
      </c>
      <c r="CH20" s="57">
        <v>0</v>
      </c>
      <c r="CI20" s="57">
        <v>0</v>
      </c>
      <c r="CJ20" s="57">
        <v>0</v>
      </c>
      <c r="CK20" s="57">
        <v>0</v>
      </c>
      <c r="CL20" s="57">
        <v>0</v>
      </c>
      <c r="CM20" s="57">
        <v>0</v>
      </c>
      <c r="CN20" s="57">
        <v>0</v>
      </c>
      <c r="CO20" s="59">
        <v>118.82</v>
      </c>
    </row>
    <row r="21" spans="1:93" ht="15.75" customHeight="1" x14ac:dyDescent="0.3">
      <c r="A21" s="56" t="s">
        <v>227</v>
      </c>
    </row>
    <row r="22" spans="1:93" ht="15.75" customHeight="1" x14ac:dyDescent="0.3">
      <c r="A22" s="56" t="s">
        <v>228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9">
        <v>118.82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57">
        <v>0</v>
      </c>
      <c r="Z22" s="57">
        <v>0</v>
      </c>
      <c r="AA22" s="59">
        <v>118.82</v>
      </c>
      <c r="AB22" s="57">
        <v>0</v>
      </c>
      <c r="AC22" s="57">
        <v>0</v>
      </c>
      <c r="AD22" s="57">
        <v>0</v>
      </c>
      <c r="AE22" s="57">
        <v>0</v>
      </c>
      <c r="AF22" s="57">
        <v>0</v>
      </c>
      <c r="AG22" s="57">
        <v>0</v>
      </c>
      <c r="AH22" s="57">
        <v>0</v>
      </c>
      <c r="AI22" s="57">
        <v>0</v>
      </c>
      <c r="AJ22" s="57">
        <v>0</v>
      </c>
      <c r="AK22" s="57">
        <v>0</v>
      </c>
      <c r="AL22" s="57">
        <v>0</v>
      </c>
      <c r="AM22" s="57">
        <v>0</v>
      </c>
      <c r="AN22" s="57">
        <v>0</v>
      </c>
      <c r="AO22" s="57">
        <v>0</v>
      </c>
      <c r="AP22" s="57">
        <v>0</v>
      </c>
      <c r="AQ22" s="57">
        <v>0</v>
      </c>
      <c r="AR22" s="57">
        <v>0</v>
      </c>
      <c r="AS22" s="57">
        <v>0</v>
      </c>
      <c r="AT22" s="57">
        <v>0</v>
      </c>
      <c r="AU22" s="57">
        <v>0</v>
      </c>
      <c r="AV22" s="57">
        <v>0</v>
      </c>
      <c r="AW22" s="57">
        <v>0</v>
      </c>
      <c r="AX22" s="57">
        <v>0</v>
      </c>
      <c r="AY22" s="57">
        <v>0</v>
      </c>
      <c r="AZ22" s="57">
        <v>0</v>
      </c>
      <c r="BA22" s="57">
        <v>0</v>
      </c>
      <c r="BB22" s="57">
        <v>0</v>
      </c>
      <c r="BC22" s="57">
        <v>0</v>
      </c>
      <c r="BD22" s="57">
        <v>0</v>
      </c>
      <c r="BE22" s="57">
        <v>0</v>
      </c>
      <c r="BF22" s="57">
        <v>0</v>
      </c>
      <c r="BG22" s="57">
        <v>0</v>
      </c>
      <c r="BH22" s="57">
        <v>0</v>
      </c>
      <c r="BI22" s="57">
        <v>0</v>
      </c>
      <c r="BJ22" s="57">
        <v>0</v>
      </c>
      <c r="BK22" s="57">
        <v>0</v>
      </c>
      <c r="BL22" s="57">
        <v>0</v>
      </c>
      <c r="BM22" s="57">
        <v>0</v>
      </c>
      <c r="BN22" s="57">
        <v>0</v>
      </c>
      <c r="BO22" s="57">
        <v>0</v>
      </c>
      <c r="BP22" s="57">
        <v>0</v>
      </c>
      <c r="BQ22" s="57">
        <v>0</v>
      </c>
      <c r="BR22" s="57">
        <v>0</v>
      </c>
      <c r="BS22" s="57">
        <v>0</v>
      </c>
      <c r="BT22" s="57">
        <v>0</v>
      </c>
      <c r="BU22" s="57">
        <v>0</v>
      </c>
      <c r="BV22" s="57">
        <v>0</v>
      </c>
      <c r="BW22" s="57">
        <v>0</v>
      </c>
      <c r="BX22" s="57">
        <v>0</v>
      </c>
      <c r="BY22" s="57">
        <v>0</v>
      </c>
      <c r="BZ22" s="57">
        <v>0</v>
      </c>
      <c r="CA22" s="57">
        <v>0</v>
      </c>
      <c r="CB22" s="57">
        <v>0</v>
      </c>
      <c r="CC22" s="57">
        <v>0</v>
      </c>
      <c r="CD22" s="57">
        <v>0</v>
      </c>
      <c r="CE22" s="57">
        <v>0</v>
      </c>
      <c r="CF22" s="57">
        <v>0</v>
      </c>
      <c r="CG22" s="57">
        <v>0</v>
      </c>
      <c r="CH22" s="57">
        <v>0</v>
      </c>
      <c r="CI22" s="57">
        <v>0</v>
      </c>
      <c r="CJ22" s="57">
        <v>0</v>
      </c>
      <c r="CK22" s="57">
        <v>0</v>
      </c>
      <c r="CL22" s="57">
        <v>0</v>
      </c>
      <c r="CM22" s="57">
        <v>0</v>
      </c>
      <c r="CN22" s="57">
        <v>0</v>
      </c>
      <c r="CO22" s="59">
        <v>118.82</v>
      </c>
    </row>
    <row r="23" spans="1:93" ht="15.75" customHeight="1" x14ac:dyDescent="0.3"/>
    <row r="24" spans="1:93" ht="15.75" customHeight="1" x14ac:dyDescent="0.3"/>
    <row r="25" spans="1:93" ht="15.75" customHeight="1" x14ac:dyDescent="0.3"/>
    <row r="26" spans="1:93" ht="15.75" customHeight="1" x14ac:dyDescent="0.3"/>
    <row r="27" spans="1:93" ht="15.75" customHeight="1" x14ac:dyDescent="0.3"/>
    <row r="28" spans="1:93" ht="15.75" customHeight="1" x14ac:dyDescent="0.3"/>
    <row r="29" spans="1:93" ht="15.75" customHeight="1" x14ac:dyDescent="0.3"/>
    <row r="30" spans="1:93" ht="15.75" customHeight="1" x14ac:dyDescent="0.3"/>
    <row r="31" spans="1:93" ht="15.75" customHeight="1" x14ac:dyDescent="0.3"/>
    <row r="32" spans="1:9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230</v>
      </c>
    </row>
    <row r="3" spans="1:93" ht="14.4" x14ac:dyDescent="0.3">
      <c r="A3" s="56" t="s">
        <v>231</v>
      </c>
      <c r="B3" s="59">
        <v>0.77</v>
      </c>
      <c r="C3" s="59">
        <v>1.0900000000000001</v>
      </c>
      <c r="D3" s="59">
        <v>1.65</v>
      </c>
      <c r="E3" s="59">
        <v>2.35</v>
      </c>
      <c r="F3" s="59">
        <v>3.03</v>
      </c>
      <c r="G3" s="59">
        <v>3.7</v>
      </c>
      <c r="H3" s="59">
        <v>4.33</v>
      </c>
      <c r="I3" s="59">
        <v>4.97</v>
      </c>
      <c r="J3" s="59">
        <v>5.61</v>
      </c>
      <c r="K3" s="59">
        <v>6.26</v>
      </c>
      <c r="L3" s="59">
        <v>6.91</v>
      </c>
      <c r="M3" s="59">
        <v>7.57</v>
      </c>
      <c r="N3" s="59">
        <v>7.57</v>
      </c>
      <c r="O3" s="59">
        <v>7.95</v>
      </c>
      <c r="P3" s="59">
        <v>8.16</v>
      </c>
      <c r="Q3" s="59">
        <v>8.3800000000000008</v>
      </c>
      <c r="R3" s="59">
        <v>8.61</v>
      </c>
      <c r="S3" s="59">
        <v>8.85</v>
      </c>
      <c r="T3" s="59">
        <v>9.11</v>
      </c>
      <c r="U3" s="59">
        <v>9.3699999999999992</v>
      </c>
      <c r="V3" s="59">
        <v>9.64</v>
      </c>
      <c r="W3" s="59">
        <v>9.49</v>
      </c>
      <c r="X3" s="59">
        <v>9.3800000000000008</v>
      </c>
      <c r="Y3" s="59">
        <v>9.3000000000000007</v>
      </c>
      <c r="Z3" s="59">
        <v>9.24</v>
      </c>
      <c r="AA3" s="59">
        <v>9.24</v>
      </c>
      <c r="AB3" s="59">
        <v>9.24</v>
      </c>
      <c r="AC3" s="59">
        <v>9.17</v>
      </c>
      <c r="AD3" s="59">
        <v>9.02</v>
      </c>
      <c r="AE3" s="59">
        <v>8.9499999999999993</v>
      </c>
      <c r="AF3" s="59">
        <v>8.9</v>
      </c>
      <c r="AG3" s="59">
        <v>8.86</v>
      </c>
      <c r="AH3" s="59">
        <v>8.84</v>
      </c>
      <c r="AI3" s="59">
        <v>8.84</v>
      </c>
      <c r="AJ3" s="59">
        <v>8.85</v>
      </c>
      <c r="AK3" s="59">
        <v>8.8699999999999992</v>
      </c>
      <c r="AL3" s="59">
        <v>8.91</v>
      </c>
      <c r="AM3" s="59">
        <v>8.9499999999999993</v>
      </c>
      <c r="AN3" s="59">
        <v>8.9499999999999993</v>
      </c>
      <c r="AO3" s="59">
        <v>9.09</v>
      </c>
      <c r="AP3" s="59">
        <v>9.11</v>
      </c>
      <c r="AQ3" s="59">
        <v>9.14</v>
      </c>
      <c r="AR3" s="59">
        <v>9.17</v>
      </c>
      <c r="AS3" s="59">
        <v>9.1999999999999993</v>
      </c>
      <c r="AT3" s="59">
        <v>9.24</v>
      </c>
      <c r="AU3" s="59">
        <v>9.2899999999999991</v>
      </c>
      <c r="AV3" s="59">
        <v>9.34</v>
      </c>
      <c r="AW3" s="59">
        <v>9.39</v>
      </c>
      <c r="AX3" s="59">
        <v>9.4499999999999993</v>
      </c>
      <c r="AY3" s="59">
        <v>9.4600000000000009</v>
      </c>
      <c r="AZ3" s="59">
        <v>9.5</v>
      </c>
      <c r="BA3" s="59">
        <v>9.5</v>
      </c>
      <c r="BB3" s="59">
        <v>9.83</v>
      </c>
      <c r="BC3" s="59">
        <v>9.48</v>
      </c>
      <c r="BD3" s="59">
        <v>9.67</v>
      </c>
      <c r="BE3" s="59">
        <v>9.86</v>
      </c>
      <c r="BF3" s="59">
        <v>10.06</v>
      </c>
      <c r="BG3" s="59">
        <v>10.27</v>
      </c>
      <c r="BH3" s="59">
        <v>10.48</v>
      </c>
      <c r="BI3" s="59">
        <v>10.69</v>
      </c>
      <c r="BJ3" s="59">
        <v>10.91</v>
      </c>
      <c r="BK3" s="59">
        <v>11.13</v>
      </c>
      <c r="BL3" s="59">
        <v>11.34</v>
      </c>
      <c r="BM3" s="59">
        <v>12.29</v>
      </c>
      <c r="BN3" s="59">
        <v>12.29</v>
      </c>
      <c r="BO3" s="59">
        <v>12.65</v>
      </c>
      <c r="BP3" s="59">
        <v>12.93</v>
      </c>
      <c r="BQ3" s="59">
        <v>13.21</v>
      </c>
      <c r="BR3" s="59">
        <v>13.5</v>
      </c>
      <c r="BS3" s="59">
        <v>13.79</v>
      </c>
      <c r="BT3" s="59">
        <v>14.08</v>
      </c>
      <c r="BU3" s="59">
        <v>14.38</v>
      </c>
      <c r="BV3" s="59">
        <v>14.68</v>
      </c>
      <c r="BW3" s="59">
        <v>14.99</v>
      </c>
      <c r="BX3" s="59">
        <v>15.29</v>
      </c>
      <c r="BY3" s="59">
        <v>15.6</v>
      </c>
      <c r="BZ3" s="59">
        <v>15.91</v>
      </c>
      <c r="CA3" s="59">
        <v>15.91</v>
      </c>
      <c r="CB3" s="59">
        <v>16.3</v>
      </c>
      <c r="CC3" s="59">
        <v>16.59</v>
      </c>
      <c r="CD3" s="59">
        <v>16.88</v>
      </c>
      <c r="CE3" s="59">
        <v>17.18</v>
      </c>
      <c r="CF3" s="59">
        <v>17.48</v>
      </c>
      <c r="CG3" s="59">
        <v>17.78</v>
      </c>
      <c r="CH3" s="59">
        <v>18.09</v>
      </c>
      <c r="CI3" s="59">
        <v>18.399999999999999</v>
      </c>
      <c r="CJ3" s="59">
        <v>18.649999999999999</v>
      </c>
      <c r="CK3" s="59">
        <v>18.920000000000002</v>
      </c>
      <c r="CL3" s="59">
        <v>19.21</v>
      </c>
      <c r="CM3" s="59">
        <v>19.510000000000002</v>
      </c>
      <c r="CN3" s="59">
        <v>19.510000000000002</v>
      </c>
      <c r="CO3" s="59">
        <v>19.510000000000002</v>
      </c>
    </row>
    <row r="4" spans="1:93" ht="14.4" x14ac:dyDescent="0.3">
      <c r="A4" s="56" t="s">
        <v>232</v>
      </c>
      <c r="B4" s="59">
        <v>0.77</v>
      </c>
      <c r="C4" s="59">
        <v>1.0900000000000001</v>
      </c>
      <c r="D4" s="59">
        <v>1.65</v>
      </c>
      <c r="E4" s="59">
        <v>2.35</v>
      </c>
      <c r="F4" s="59">
        <v>3.03</v>
      </c>
      <c r="G4" s="59">
        <v>3.7</v>
      </c>
      <c r="H4" s="59">
        <v>4.33</v>
      </c>
      <c r="I4" s="59">
        <v>4.97</v>
      </c>
      <c r="J4" s="59">
        <v>5.61</v>
      </c>
      <c r="K4" s="59">
        <v>6.26</v>
      </c>
      <c r="L4" s="59">
        <v>6.91</v>
      </c>
      <c r="M4" s="59">
        <v>7.57</v>
      </c>
      <c r="N4" s="59">
        <v>7.57</v>
      </c>
      <c r="O4" s="59">
        <v>7.95</v>
      </c>
      <c r="P4" s="59">
        <v>8.16</v>
      </c>
      <c r="Q4" s="59">
        <v>8.3800000000000008</v>
      </c>
      <c r="R4" s="59">
        <v>8.61</v>
      </c>
      <c r="S4" s="59">
        <v>8.85</v>
      </c>
      <c r="T4" s="59">
        <v>9.11</v>
      </c>
      <c r="U4" s="59">
        <v>9.3699999999999992</v>
      </c>
      <c r="V4" s="59">
        <v>9.64</v>
      </c>
      <c r="W4" s="59">
        <v>9.49</v>
      </c>
      <c r="X4" s="59">
        <v>9.3800000000000008</v>
      </c>
      <c r="Y4" s="59">
        <v>9.3000000000000007</v>
      </c>
      <c r="Z4" s="59">
        <v>9.24</v>
      </c>
      <c r="AA4" s="59">
        <v>9.24</v>
      </c>
      <c r="AB4" s="59">
        <v>9.24</v>
      </c>
      <c r="AC4" s="59">
        <v>9.17</v>
      </c>
      <c r="AD4" s="59">
        <v>9.02</v>
      </c>
      <c r="AE4" s="59">
        <v>8.9499999999999993</v>
      </c>
      <c r="AF4" s="59">
        <v>8.9</v>
      </c>
      <c r="AG4" s="59">
        <v>8.86</v>
      </c>
      <c r="AH4" s="59">
        <v>8.84</v>
      </c>
      <c r="AI4" s="59">
        <v>8.84</v>
      </c>
      <c r="AJ4" s="59">
        <v>8.85</v>
      </c>
      <c r="AK4" s="59">
        <v>8.8699999999999992</v>
      </c>
      <c r="AL4" s="59">
        <v>8.91</v>
      </c>
      <c r="AM4" s="59">
        <v>8.9499999999999993</v>
      </c>
      <c r="AN4" s="59">
        <v>8.9499999999999993</v>
      </c>
      <c r="AO4" s="59">
        <v>9.09</v>
      </c>
      <c r="AP4" s="59">
        <v>9.11</v>
      </c>
      <c r="AQ4" s="59">
        <v>9.14</v>
      </c>
      <c r="AR4" s="59">
        <v>9.17</v>
      </c>
      <c r="AS4" s="59">
        <v>9.1999999999999993</v>
      </c>
      <c r="AT4" s="59">
        <v>9.24</v>
      </c>
      <c r="AU4" s="59">
        <v>9.2899999999999991</v>
      </c>
      <c r="AV4" s="59">
        <v>9.34</v>
      </c>
      <c r="AW4" s="59">
        <v>9.39</v>
      </c>
      <c r="AX4" s="59">
        <v>9.4499999999999993</v>
      </c>
      <c r="AY4" s="59">
        <v>9.4600000000000009</v>
      </c>
      <c r="AZ4" s="59">
        <v>9.5</v>
      </c>
      <c r="BA4" s="59">
        <v>9.5</v>
      </c>
      <c r="BB4" s="59">
        <v>9.83</v>
      </c>
      <c r="BC4" s="59">
        <v>9.48</v>
      </c>
      <c r="BD4" s="59">
        <v>9.67</v>
      </c>
      <c r="BE4" s="59">
        <v>9.86</v>
      </c>
      <c r="BF4" s="59">
        <v>10.06</v>
      </c>
      <c r="BG4" s="59">
        <v>10.27</v>
      </c>
      <c r="BH4" s="59">
        <v>10.48</v>
      </c>
      <c r="BI4" s="59">
        <v>10.69</v>
      </c>
      <c r="BJ4" s="59">
        <v>10.91</v>
      </c>
      <c r="BK4" s="59">
        <v>11.13</v>
      </c>
      <c r="BL4" s="59">
        <v>11.34</v>
      </c>
      <c r="BM4" s="59">
        <v>12.29</v>
      </c>
      <c r="BN4" s="59">
        <v>12.29</v>
      </c>
      <c r="BO4" s="59">
        <v>12.65</v>
      </c>
      <c r="BP4" s="59">
        <v>12.93</v>
      </c>
      <c r="BQ4" s="59">
        <v>13.21</v>
      </c>
      <c r="BR4" s="59">
        <v>13.5</v>
      </c>
      <c r="BS4" s="59">
        <v>13.79</v>
      </c>
      <c r="BT4" s="59">
        <v>14.08</v>
      </c>
      <c r="BU4" s="59">
        <v>14.38</v>
      </c>
      <c r="BV4" s="59">
        <v>14.68</v>
      </c>
      <c r="BW4" s="59">
        <v>14.99</v>
      </c>
      <c r="BX4" s="59">
        <v>15.29</v>
      </c>
      <c r="BY4" s="59">
        <v>15.6</v>
      </c>
      <c r="BZ4" s="59">
        <v>15.91</v>
      </c>
      <c r="CA4" s="59">
        <v>15.91</v>
      </c>
      <c r="CB4" s="59">
        <v>16.3</v>
      </c>
      <c r="CC4" s="59">
        <v>16.59</v>
      </c>
      <c r="CD4" s="59">
        <v>16.88</v>
      </c>
      <c r="CE4" s="59">
        <v>17.18</v>
      </c>
      <c r="CF4" s="59">
        <v>17.48</v>
      </c>
      <c r="CG4" s="59">
        <v>17.78</v>
      </c>
      <c r="CH4" s="59">
        <v>18.09</v>
      </c>
      <c r="CI4" s="59">
        <v>18.399999999999999</v>
      </c>
      <c r="CJ4" s="59">
        <v>18.649999999999999</v>
      </c>
      <c r="CK4" s="59">
        <v>18.920000000000002</v>
      </c>
      <c r="CL4" s="59">
        <v>19.21</v>
      </c>
      <c r="CM4" s="59">
        <v>19.510000000000002</v>
      </c>
      <c r="CN4" s="59">
        <v>19.510000000000002</v>
      </c>
      <c r="CO4" s="59">
        <v>19.510000000000002</v>
      </c>
    </row>
    <row r="5" spans="1:93" ht="14.4" x14ac:dyDescent="0.3">
      <c r="A5" s="56" t="s">
        <v>233</v>
      </c>
      <c r="B5" s="59">
        <v>0.77</v>
      </c>
      <c r="C5" s="59">
        <v>1.0900000000000001</v>
      </c>
      <c r="D5" s="59">
        <v>1.65</v>
      </c>
      <c r="E5" s="59">
        <v>2.35</v>
      </c>
      <c r="F5" s="59">
        <v>3.03</v>
      </c>
      <c r="G5" s="59">
        <v>3.7</v>
      </c>
      <c r="H5" s="59">
        <v>4.33</v>
      </c>
      <c r="I5" s="59">
        <v>4.97</v>
      </c>
      <c r="J5" s="59">
        <v>5.61</v>
      </c>
      <c r="K5" s="59">
        <v>6.26</v>
      </c>
      <c r="L5" s="59">
        <v>6.91</v>
      </c>
      <c r="M5" s="59">
        <v>7.57</v>
      </c>
      <c r="N5" s="59">
        <v>7.57</v>
      </c>
      <c r="O5" s="59">
        <v>7.95</v>
      </c>
      <c r="P5" s="59">
        <v>8.16</v>
      </c>
      <c r="Q5" s="59">
        <v>8.3800000000000008</v>
      </c>
      <c r="R5" s="59">
        <v>8.61</v>
      </c>
      <c r="S5" s="59">
        <v>8.85</v>
      </c>
      <c r="T5" s="59">
        <v>9.11</v>
      </c>
      <c r="U5" s="59">
        <v>9.3699999999999992</v>
      </c>
      <c r="V5" s="59">
        <v>9.64</v>
      </c>
      <c r="W5" s="59">
        <v>9.49</v>
      </c>
      <c r="X5" s="59">
        <v>9.3800000000000008</v>
      </c>
      <c r="Y5" s="59">
        <v>9.3000000000000007</v>
      </c>
      <c r="Z5" s="59">
        <v>9.24</v>
      </c>
      <c r="AA5" s="59">
        <v>9.24</v>
      </c>
      <c r="AB5" s="59">
        <v>9.24</v>
      </c>
      <c r="AC5" s="59">
        <v>9.17</v>
      </c>
      <c r="AD5" s="59">
        <v>9.02</v>
      </c>
      <c r="AE5" s="59">
        <v>8.9499999999999993</v>
      </c>
      <c r="AF5" s="59">
        <v>8.9</v>
      </c>
      <c r="AG5" s="59">
        <v>8.86</v>
      </c>
      <c r="AH5" s="59">
        <v>8.84</v>
      </c>
      <c r="AI5" s="59">
        <v>8.84</v>
      </c>
      <c r="AJ5" s="59">
        <v>8.85</v>
      </c>
      <c r="AK5" s="59">
        <v>8.8699999999999992</v>
      </c>
      <c r="AL5" s="59">
        <v>8.91</v>
      </c>
      <c r="AM5" s="59">
        <v>8.9499999999999993</v>
      </c>
      <c r="AN5" s="59">
        <v>8.9499999999999993</v>
      </c>
      <c r="AO5" s="59">
        <v>9.09</v>
      </c>
      <c r="AP5" s="59">
        <v>9.11</v>
      </c>
      <c r="AQ5" s="59">
        <v>9.14</v>
      </c>
      <c r="AR5" s="59">
        <v>9.17</v>
      </c>
      <c r="AS5" s="59">
        <v>9.1999999999999993</v>
      </c>
      <c r="AT5" s="59">
        <v>9.24</v>
      </c>
      <c r="AU5" s="59">
        <v>9.2899999999999991</v>
      </c>
      <c r="AV5" s="59">
        <v>9.34</v>
      </c>
      <c r="AW5" s="59">
        <v>9.39</v>
      </c>
      <c r="AX5" s="59">
        <v>9.4499999999999993</v>
      </c>
      <c r="AY5" s="59">
        <v>9.4600000000000009</v>
      </c>
      <c r="AZ5" s="59">
        <v>9.5</v>
      </c>
      <c r="BA5" s="59">
        <v>9.5</v>
      </c>
      <c r="BB5" s="59">
        <v>9.83</v>
      </c>
      <c r="BC5" s="59">
        <v>9.48</v>
      </c>
      <c r="BD5" s="59">
        <v>9.67</v>
      </c>
      <c r="BE5" s="59">
        <v>9.86</v>
      </c>
      <c r="BF5" s="59">
        <v>10.06</v>
      </c>
      <c r="BG5" s="59">
        <v>10.27</v>
      </c>
      <c r="BH5" s="59">
        <v>10.48</v>
      </c>
      <c r="BI5" s="59">
        <v>10.69</v>
      </c>
      <c r="BJ5" s="59">
        <v>10.91</v>
      </c>
      <c r="BK5" s="59">
        <v>11.13</v>
      </c>
      <c r="BL5" s="59">
        <v>11.34</v>
      </c>
      <c r="BM5" s="59">
        <v>12.29</v>
      </c>
      <c r="BN5" s="59">
        <v>12.29</v>
      </c>
      <c r="BO5" s="59">
        <v>12.65</v>
      </c>
      <c r="BP5" s="59">
        <v>12.93</v>
      </c>
      <c r="BQ5" s="59">
        <v>13.21</v>
      </c>
      <c r="BR5" s="59">
        <v>13.5</v>
      </c>
      <c r="BS5" s="59">
        <v>13.79</v>
      </c>
      <c r="BT5" s="59">
        <v>14.08</v>
      </c>
      <c r="BU5" s="59">
        <v>14.38</v>
      </c>
      <c r="BV5" s="59">
        <v>14.68</v>
      </c>
      <c r="BW5" s="59">
        <v>14.99</v>
      </c>
      <c r="BX5" s="59">
        <v>15.29</v>
      </c>
      <c r="BY5" s="59">
        <v>15.6</v>
      </c>
      <c r="BZ5" s="59">
        <v>15.91</v>
      </c>
      <c r="CA5" s="59">
        <v>15.91</v>
      </c>
      <c r="CB5" s="59">
        <v>16.3</v>
      </c>
      <c r="CC5" s="59">
        <v>16.59</v>
      </c>
      <c r="CD5" s="59">
        <v>16.88</v>
      </c>
      <c r="CE5" s="59">
        <v>17.18</v>
      </c>
      <c r="CF5" s="59">
        <v>17.48</v>
      </c>
      <c r="CG5" s="59">
        <v>17.78</v>
      </c>
      <c r="CH5" s="59">
        <v>18.09</v>
      </c>
      <c r="CI5" s="59">
        <v>18.399999999999999</v>
      </c>
      <c r="CJ5" s="59">
        <v>18.649999999999999</v>
      </c>
      <c r="CK5" s="59">
        <v>18.920000000000002</v>
      </c>
      <c r="CL5" s="59">
        <v>19.21</v>
      </c>
      <c r="CM5" s="59">
        <v>19.510000000000002</v>
      </c>
      <c r="CN5" s="59">
        <v>19.510000000000002</v>
      </c>
      <c r="CO5" s="59">
        <v>19.510000000000002</v>
      </c>
    </row>
    <row r="6" spans="1:93" ht="14.4" x14ac:dyDescent="0.3">
      <c r="A6" s="56" t="s">
        <v>169</v>
      </c>
    </row>
    <row r="7" spans="1:93" ht="14.4" x14ac:dyDescent="0.3">
      <c r="A7" s="56" t="s">
        <v>234</v>
      </c>
    </row>
    <row r="8" spans="1:93" ht="14.4" x14ac:dyDescent="0.3">
      <c r="A8" s="56" t="s">
        <v>235</v>
      </c>
    </row>
    <row r="9" spans="1:93" ht="14.4" x14ac:dyDescent="0.3">
      <c r="A9" s="56" t="s">
        <v>236</v>
      </c>
      <c r="B9" s="60">
        <v>0.7</v>
      </c>
      <c r="C9" s="60">
        <v>0.7</v>
      </c>
      <c r="D9" s="60">
        <v>0.7</v>
      </c>
      <c r="E9" s="60">
        <v>0.7</v>
      </c>
      <c r="F9" s="60">
        <v>0.7</v>
      </c>
      <c r="G9" s="60">
        <v>0.7</v>
      </c>
      <c r="H9" s="60">
        <v>0.7</v>
      </c>
      <c r="I9" s="60">
        <v>0.7</v>
      </c>
      <c r="J9" s="60">
        <v>0.7</v>
      </c>
      <c r="K9" s="60">
        <v>0.7</v>
      </c>
      <c r="L9" s="60">
        <v>0.7</v>
      </c>
      <c r="M9" s="60">
        <v>0.7</v>
      </c>
      <c r="N9" s="60">
        <v>0.7</v>
      </c>
      <c r="O9" s="60">
        <v>0.7</v>
      </c>
      <c r="P9" s="60">
        <v>0.7</v>
      </c>
      <c r="Q9" s="60">
        <v>0.7</v>
      </c>
      <c r="R9" s="60">
        <v>0.7</v>
      </c>
      <c r="S9" s="60">
        <v>0.7</v>
      </c>
      <c r="T9" s="60">
        <v>0.7</v>
      </c>
      <c r="U9" s="60">
        <v>0.7</v>
      </c>
      <c r="V9" s="60">
        <v>0.7</v>
      </c>
      <c r="W9" s="60">
        <v>0.7</v>
      </c>
      <c r="X9" s="60">
        <v>0.7</v>
      </c>
      <c r="Y9" s="60">
        <v>0.7</v>
      </c>
      <c r="Z9" s="60">
        <v>0.7</v>
      </c>
      <c r="AA9" s="60">
        <v>0.7</v>
      </c>
      <c r="AB9" s="60">
        <v>0.7</v>
      </c>
      <c r="AC9" s="60">
        <v>0.7</v>
      </c>
      <c r="AD9" s="60">
        <v>0.7</v>
      </c>
      <c r="AE9" s="60">
        <v>0.7</v>
      </c>
      <c r="AF9" s="60">
        <v>0.7</v>
      </c>
      <c r="AG9" s="60">
        <v>0.7</v>
      </c>
      <c r="AH9" s="60">
        <v>0.7</v>
      </c>
      <c r="AI9" s="60">
        <v>0.7</v>
      </c>
      <c r="AJ9" s="60">
        <v>0.7</v>
      </c>
      <c r="AK9" s="60">
        <v>0.7</v>
      </c>
      <c r="AL9" s="60">
        <v>0.7</v>
      </c>
      <c r="AM9" s="60">
        <v>0.7</v>
      </c>
      <c r="AN9" s="60">
        <v>0.7</v>
      </c>
      <c r="AO9" s="60">
        <v>0.7</v>
      </c>
      <c r="AP9" s="60">
        <v>0.7</v>
      </c>
      <c r="AQ9" s="60">
        <v>0.7</v>
      </c>
      <c r="AR9" s="60">
        <v>0.7</v>
      </c>
      <c r="AS9" s="60">
        <v>0.7</v>
      </c>
      <c r="AT9" s="60">
        <v>0.7</v>
      </c>
      <c r="AU9" s="60">
        <v>0.7</v>
      </c>
      <c r="AV9" s="60">
        <v>0.7</v>
      </c>
      <c r="AW9" s="60">
        <v>0.7</v>
      </c>
      <c r="AX9" s="60">
        <v>0.7</v>
      </c>
      <c r="AY9" s="60">
        <v>0.7</v>
      </c>
      <c r="AZ9" s="60">
        <v>0.7</v>
      </c>
      <c r="BA9" s="60">
        <v>0.7</v>
      </c>
      <c r="BB9" s="60">
        <v>0.7</v>
      </c>
      <c r="BC9" s="60">
        <v>0.7</v>
      </c>
      <c r="BD9" s="60">
        <v>0.7</v>
      </c>
      <c r="BE9" s="60">
        <v>0.7</v>
      </c>
      <c r="BF9" s="60">
        <v>0.7</v>
      </c>
      <c r="BG9" s="60">
        <v>0.7</v>
      </c>
      <c r="BH9" s="60">
        <v>0.7</v>
      </c>
      <c r="BI9" s="60">
        <v>0.7</v>
      </c>
      <c r="BJ9" s="60">
        <v>0.7</v>
      </c>
      <c r="BK9" s="60">
        <v>0.7</v>
      </c>
      <c r="BL9" s="60">
        <v>0.7</v>
      </c>
      <c r="BM9" s="60">
        <v>0.7</v>
      </c>
      <c r="BN9" s="60">
        <v>0.7</v>
      </c>
      <c r="BO9" s="60">
        <v>0.7</v>
      </c>
      <c r="BP9" s="60">
        <v>0.7</v>
      </c>
      <c r="BQ9" s="60">
        <v>0.7</v>
      </c>
      <c r="BR9" s="60">
        <v>0.7</v>
      </c>
      <c r="BS9" s="60">
        <v>0.7</v>
      </c>
      <c r="BT9" s="60">
        <v>0.7</v>
      </c>
      <c r="BU9" s="60">
        <v>0.7</v>
      </c>
      <c r="BV9" s="60">
        <v>0.7</v>
      </c>
      <c r="BW9" s="60">
        <v>0.7</v>
      </c>
      <c r="BX9" s="60">
        <v>0.7</v>
      </c>
      <c r="BY9" s="60">
        <v>0.7</v>
      </c>
      <c r="BZ9" s="60">
        <v>0.7</v>
      </c>
      <c r="CA9" s="60">
        <v>0.7</v>
      </c>
      <c r="CB9" s="60">
        <v>0.7</v>
      </c>
      <c r="CC9" s="60">
        <v>0.7</v>
      </c>
      <c r="CD9" s="60">
        <v>0.7</v>
      </c>
      <c r="CE9" s="60">
        <v>0.7</v>
      </c>
      <c r="CF9" s="60">
        <v>0.7</v>
      </c>
      <c r="CG9" s="60">
        <v>0.7</v>
      </c>
      <c r="CH9" s="60">
        <v>0.7</v>
      </c>
      <c r="CI9" s="60">
        <v>0.7</v>
      </c>
      <c r="CJ9" s="60">
        <v>0.7</v>
      </c>
      <c r="CK9" s="60">
        <v>0.7</v>
      </c>
      <c r="CL9" s="60">
        <v>0.7</v>
      </c>
      <c r="CM9" s="60">
        <v>0.7</v>
      </c>
      <c r="CN9" s="60">
        <v>0.7</v>
      </c>
      <c r="CO9" s="60">
        <v>0.7</v>
      </c>
    </row>
    <row r="10" spans="1:93" ht="14.4" x14ac:dyDescent="0.3">
      <c r="A10" s="56" t="s">
        <v>237</v>
      </c>
      <c r="B10" s="60">
        <v>-3.22</v>
      </c>
      <c r="C10" s="60">
        <v>-1.28</v>
      </c>
      <c r="D10" s="60">
        <v>-0.63</v>
      </c>
      <c r="E10" s="60">
        <v>-0.31</v>
      </c>
      <c r="F10" s="60">
        <v>-0.14000000000000001</v>
      </c>
      <c r="G10" s="60">
        <v>-0.03</v>
      </c>
      <c r="H10" s="60">
        <v>0.03</v>
      </c>
      <c r="I10" s="60">
        <v>0.09</v>
      </c>
      <c r="J10" s="60">
        <v>0.14000000000000001</v>
      </c>
      <c r="K10" s="60">
        <v>0.17</v>
      </c>
      <c r="L10" s="60">
        <v>0.2</v>
      </c>
      <c r="M10" s="60">
        <v>0.23</v>
      </c>
      <c r="N10" s="60">
        <v>-0.02</v>
      </c>
      <c r="O10" s="60">
        <v>0.1</v>
      </c>
      <c r="P10" s="60">
        <v>0.13</v>
      </c>
      <c r="Q10" s="60">
        <v>0.15</v>
      </c>
      <c r="R10" s="60">
        <v>0.18</v>
      </c>
      <c r="S10" s="60">
        <v>0.19</v>
      </c>
      <c r="T10" s="60">
        <v>0.21</v>
      </c>
      <c r="U10" s="60">
        <v>0.23</v>
      </c>
      <c r="V10" s="60">
        <v>0.24</v>
      </c>
      <c r="W10" s="60">
        <v>0.25</v>
      </c>
      <c r="X10" s="60">
        <v>0.26</v>
      </c>
      <c r="Y10" s="60">
        <v>0.27</v>
      </c>
      <c r="Z10" s="60">
        <v>0.28000000000000003</v>
      </c>
      <c r="AA10" s="60">
        <v>0.22</v>
      </c>
      <c r="AB10" s="60">
        <v>0.24</v>
      </c>
      <c r="AC10" s="60">
        <v>0.25</v>
      </c>
      <c r="AD10" s="60">
        <v>0.22</v>
      </c>
      <c r="AE10" s="60">
        <v>0.23</v>
      </c>
      <c r="AF10" s="60">
        <v>0.24</v>
      </c>
      <c r="AG10" s="60">
        <v>0.25</v>
      </c>
      <c r="AH10" s="60">
        <v>0.25</v>
      </c>
      <c r="AI10" s="60">
        <v>0.26</v>
      </c>
      <c r="AJ10" s="60">
        <v>0.27</v>
      </c>
      <c r="AK10" s="60">
        <v>0.27</v>
      </c>
      <c r="AL10" s="60">
        <v>0.28000000000000003</v>
      </c>
      <c r="AM10" s="60">
        <v>0.28999999999999998</v>
      </c>
      <c r="AN10" s="60">
        <v>0.26</v>
      </c>
      <c r="AO10" s="60">
        <v>0.27</v>
      </c>
      <c r="AP10" s="60">
        <v>0.27</v>
      </c>
      <c r="AQ10" s="60">
        <v>0.26</v>
      </c>
      <c r="AR10" s="60">
        <v>0.27</v>
      </c>
      <c r="AS10" s="60">
        <v>0.27</v>
      </c>
      <c r="AT10" s="60">
        <v>0.28000000000000003</v>
      </c>
      <c r="AU10" s="60">
        <v>0.28000000000000003</v>
      </c>
      <c r="AV10" s="60">
        <v>0.28999999999999998</v>
      </c>
      <c r="AW10" s="60">
        <v>0.28999999999999998</v>
      </c>
      <c r="AX10" s="60">
        <v>0.28999999999999998</v>
      </c>
      <c r="AY10" s="60">
        <v>0.28000000000000003</v>
      </c>
      <c r="AZ10" s="60">
        <v>0.28999999999999998</v>
      </c>
      <c r="BA10" s="60">
        <v>0.28000000000000003</v>
      </c>
      <c r="BB10" s="60">
        <v>0.27</v>
      </c>
      <c r="BC10" s="60">
        <v>0.23</v>
      </c>
      <c r="BD10" s="60">
        <v>0.23</v>
      </c>
      <c r="BE10" s="60">
        <v>0.23</v>
      </c>
      <c r="BF10" s="60">
        <v>0.24</v>
      </c>
      <c r="BG10" s="60">
        <v>0.24</v>
      </c>
      <c r="BH10" s="60">
        <v>0.24</v>
      </c>
      <c r="BI10" s="60">
        <v>0.25</v>
      </c>
      <c r="BJ10" s="60">
        <v>0.25</v>
      </c>
      <c r="BK10" s="60">
        <v>0.25</v>
      </c>
      <c r="BL10" s="60">
        <v>0.24</v>
      </c>
      <c r="BM10" s="60">
        <v>0.28999999999999998</v>
      </c>
      <c r="BN10" s="60">
        <v>0.25</v>
      </c>
      <c r="BO10" s="60">
        <v>0.28000000000000003</v>
      </c>
      <c r="BP10" s="60">
        <v>0.28000000000000003</v>
      </c>
      <c r="BQ10" s="60">
        <v>0.28000000000000003</v>
      </c>
      <c r="BR10" s="60">
        <v>0.28999999999999998</v>
      </c>
      <c r="BS10" s="60">
        <v>0.28999999999999998</v>
      </c>
      <c r="BT10" s="60">
        <v>0.28999999999999998</v>
      </c>
      <c r="BU10" s="60">
        <v>0.28999999999999998</v>
      </c>
      <c r="BV10" s="60">
        <v>0.3</v>
      </c>
      <c r="BW10" s="60">
        <v>0.3</v>
      </c>
      <c r="BX10" s="60">
        <v>0.3</v>
      </c>
      <c r="BY10" s="60">
        <v>0.3</v>
      </c>
      <c r="BZ10" s="60">
        <v>0.3</v>
      </c>
      <c r="CA10" s="60">
        <v>0.28999999999999998</v>
      </c>
      <c r="CB10" s="60">
        <v>0.28000000000000003</v>
      </c>
      <c r="CC10" s="60">
        <v>0.28000000000000003</v>
      </c>
      <c r="CD10" s="60">
        <v>0.28999999999999998</v>
      </c>
      <c r="CE10" s="60">
        <v>0.28999999999999998</v>
      </c>
      <c r="CF10" s="60">
        <v>0.28999999999999998</v>
      </c>
      <c r="CG10" s="60">
        <v>0.28999999999999998</v>
      </c>
      <c r="CH10" s="60">
        <v>0.28999999999999998</v>
      </c>
      <c r="CI10" s="60">
        <v>0.28999999999999998</v>
      </c>
      <c r="CJ10" s="60">
        <v>0.28000000000000003</v>
      </c>
      <c r="CK10" s="60">
        <v>0.28000000000000003</v>
      </c>
      <c r="CL10" s="60">
        <v>0.28000000000000003</v>
      </c>
      <c r="CM10" s="60">
        <v>0.28000000000000003</v>
      </c>
      <c r="CN10" s="60">
        <v>0.28999999999999998</v>
      </c>
      <c r="CO10" s="60">
        <v>0.26</v>
      </c>
    </row>
    <row r="11" spans="1:93" ht="14.4" x14ac:dyDescent="0.3">
      <c r="A11" s="56" t="s">
        <v>238</v>
      </c>
      <c r="B11" s="60">
        <v>-3.22</v>
      </c>
      <c r="C11" s="60">
        <v>-1.28</v>
      </c>
      <c r="D11" s="60">
        <v>-0.63</v>
      </c>
      <c r="E11" s="60">
        <v>-0.31</v>
      </c>
      <c r="F11" s="60">
        <v>-0.14000000000000001</v>
      </c>
      <c r="G11" s="60">
        <v>-0.03</v>
      </c>
      <c r="H11" s="60">
        <v>0.03</v>
      </c>
      <c r="I11" s="60">
        <v>0.09</v>
      </c>
      <c r="J11" s="60">
        <v>0.14000000000000001</v>
      </c>
      <c r="K11" s="60">
        <v>0.17</v>
      </c>
      <c r="L11" s="60">
        <v>0.2</v>
      </c>
      <c r="M11" s="60">
        <v>0.23</v>
      </c>
      <c r="N11" s="60">
        <v>-0.02</v>
      </c>
      <c r="O11" s="60">
        <v>0.1</v>
      </c>
      <c r="P11" s="60">
        <v>0.13</v>
      </c>
      <c r="Q11" s="60">
        <v>0.15</v>
      </c>
      <c r="R11" s="60">
        <v>0.18</v>
      </c>
      <c r="S11" s="60">
        <v>0.19</v>
      </c>
      <c r="T11" s="60">
        <v>0.21</v>
      </c>
      <c r="U11" s="60">
        <v>0.23</v>
      </c>
      <c r="V11" s="60">
        <v>0.24</v>
      </c>
      <c r="W11" s="60">
        <v>0.25</v>
      </c>
      <c r="X11" s="60">
        <v>0.26</v>
      </c>
      <c r="Y11" s="60">
        <v>0.27</v>
      </c>
      <c r="Z11" s="60">
        <v>0.28000000000000003</v>
      </c>
      <c r="AA11" s="60">
        <v>0.22</v>
      </c>
      <c r="AB11" s="60">
        <v>0.24</v>
      </c>
      <c r="AC11" s="60">
        <v>0.25</v>
      </c>
      <c r="AD11" s="60">
        <v>0.22</v>
      </c>
      <c r="AE11" s="60">
        <v>0.23</v>
      </c>
      <c r="AF11" s="60">
        <v>0.24</v>
      </c>
      <c r="AG11" s="60">
        <v>0.25</v>
      </c>
      <c r="AH11" s="60">
        <v>0.25</v>
      </c>
      <c r="AI11" s="60">
        <v>0.26</v>
      </c>
      <c r="AJ11" s="60">
        <v>0.27</v>
      </c>
      <c r="AK11" s="60">
        <v>0.27</v>
      </c>
      <c r="AL11" s="60">
        <v>0.28000000000000003</v>
      </c>
      <c r="AM11" s="60">
        <v>0.28999999999999998</v>
      </c>
      <c r="AN11" s="60">
        <v>0.26</v>
      </c>
      <c r="AO11" s="60">
        <v>0.27</v>
      </c>
      <c r="AP11" s="60">
        <v>0.27</v>
      </c>
      <c r="AQ11" s="60">
        <v>0.26</v>
      </c>
      <c r="AR11" s="60">
        <v>0.27</v>
      </c>
      <c r="AS11" s="60">
        <v>0.27</v>
      </c>
      <c r="AT11" s="60">
        <v>0.28000000000000003</v>
      </c>
      <c r="AU11" s="60">
        <v>0.28000000000000003</v>
      </c>
      <c r="AV11" s="60">
        <v>0.28999999999999998</v>
      </c>
      <c r="AW11" s="60">
        <v>0.28999999999999998</v>
      </c>
      <c r="AX11" s="60">
        <v>0.28999999999999998</v>
      </c>
      <c r="AY11" s="60">
        <v>0.28000000000000003</v>
      </c>
      <c r="AZ11" s="60">
        <v>0.28999999999999998</v>
      </c>
      <c r="BA11" s="60">
        <v>0.28000000000000003</v>
      </c>
      <c r="BB11" s="60">
        <v>0.27</v>
      </c>
      <c r="BC11" s="60">
        <v>0.23</v>
      </c>
      <c r="BD11" s="60">
        <v>0.23</v>
      </c>
      <c r="BE11" s="60">
        <v>0.23</v>
      </c>
      <c r="BF11" s="60">
        <v>0.24</v>
      </c>
      <c r="BG11" s="60">
        <v>0.24</v>
      </c>
      <c r="BH11" s="60">
        <v>0.24</v>
      </c>
      <c r="BI11" s="60">
        <v>0.25</v>
      </c>
      <c r="BJ11" s="60">
        <v>0.25</v>
      </c>
      <c r="BK11" s="60">
        <v>0.25</v>
      </c>
      <c r="BL11" s="60">
        <v>0.24</v>
      </c>
      <c r="BM11" s="60">
        <v>0.28999999999999998</v>
      </c>
      <c r="BN11" s="60">
        <v>0.25</v>
      </c>
      <c r="BO11" s="60">
        <v>0.28000000000000003</v>
      </c>
      <c r="BP11" s="60">
        <v>0.28000000000000003</v>
      </c>
      <c r="BQ11" s="60">
        <v>0.28000000000000003</v>
      </c>
      <c r="BR11" s="60">
        <v>0.28999999999999998</v>
      </c>
      <c r="BS11" s="60">
        <v>0.28999999999999998</v>
      </c>
      <c r="BT11" s="60">
        <v>0.28999999999999998</v>
      </c>
      <c r="BU11" s="60">
        <v>0.28999999999999998</v>
      </c>
      <c r="BV11" s="60">
        <v>0.3</v>
      </c>
      <c r="BW11" s="60">
        <v>0.3</v>
      </c>
      <c r="BX11" s="60">
        <v>0.3</v>
      </c>
      <c r="BY11" s="60">
        <v>0.3</v>
      </c>
      <c r="BZ11" s="60">
        <v>0.3</v>
      </c>
      <c r="CA11" s="60">
        <v>0.28999999999999998</v>
      </c>
      <c r="CB11" s="60">
        <v>0.28000000000000003</v>
      </c>
      <c r="CC11" s="60">
        <v>0.28000000000000003</v>
      </c>
      <c r="CD11" s="60">
        <v>0.28999999999999998</v>
      </c>
      <c r="CE11" s="60">
        <v>0.28999999999999998</v>
      </c>
      <c r="CF11" s="60">
        <v>0.28999999999999998</v>
      </c>
      <c r="CG11" s="60">
        <v>0.28999999999999998</v>
      </c>
      <c r="CH11" s="60">
        <v>0.28999999999999998</v>
      </c>
      <c r="CI11" s="60">
        <v>0.28999999999999998</v>
      </c>
      <c r="CJ11" s="60">
        <v>0.28000000000000003</v>
      </c>
      <c r="CK11" s="60">
        <v>0.28000000000000003</v>
      </c>
      <c r="CL11" s="60">
        <v>0.28000000000000003</v>
      </c>
      <c r="CM11" s="60">
        <v>0.28000000000000003</v>
      </c>
      <c r="CN11" s="60">
        <v>0.28999999999999998</v>
      </c>
      <c r="CO11" s="60">
        <v>0.26</v>
      </c>
    </row>
    <row r="12" spans="1:93" ht="14.4" x14ac:dyDescent="0.3">
      <c r="A12" s="56" t="s">
        <v>239</v>
      </c>
      <c r="B12" s="60">
        <v>-3.22</v>
      </c>
      <c r="C12" s="60">
        <v>-1.28</v>
      </c>
      <c r="D12" s="60">
        <v>-0.63</v>
      </c>
      <c r="E12" s="60">
        <v>-0.31</v>
      </c>
      <c r="F12" s="60">
        <v>-0.14000000000000001</v>
      </c>
      <c r="G12" s="60">
        <v>-0.03</v>
      </c>
      <c r="H12" s="60">
        <v>0.03</v>
      </c>
      <c r="I12" s="60">
        <v>0.09</v>
      </c>
      <c r="J12" s="60">
        <v>0.14000000000000001</v>
      </c>
      <c r="K12" s="60">
        <v>0.17</v>
      </c>
      <c r="L12" s="60">
        <v>0.2</v>
      </c>
      <c r="M12" s="60">
        <v>0.23</v>
      </c>
      <c r="N12" s="60">
        <v>-0.02</v>
      </c>
      <c r="O12" s="60">
        <v>0.1</v>
      </c>
      <c r="P12" s="60">
        <v>0.13</v>
      </c>
      <c r="Q12" s="60">
        <v>0.15</v>
      </c>
      <c r="R12" s="60">
        <v>0.18</v>
      </c>
      <c r="S12" s="60">
        <v>0.19</v>
      </c>
      <c r="T12" s="60">
        <v>0.21</v>
      </c>
      <c r="U12" s="60">
        <v>0.23</v>
      </c>
      <c r="V12" s="60">
        <v>0.24</v>
      </c>
      <c r="W12" s="60">
        <v>0.25</v>
      </c>
      <c r="X12" s="60">
        <v>0.26</v>
      </c>
      <c r="Y12" s="60">
        <v>0.27</v>
      </c>
      <c r="Z12" s="60">
        <v>0.28000000000000003</v>
      </c>
      <c r="AA12" s="60">
        <v>0.22</v>
      </c>
      <c r="AB12" s="60">
        <v>0.24</v>
      </c>
      <c r="AC12" s="60">
        <v>0.25</v>
      </c>
      <c r="AD12" s="60">
        <v>0.22</v>
      </c>
      <c r="AE12" s="60">
        <v>0.23</v>
      </c>
      <c r="AF12" s="60">
        <v>0.24</v>
      </c>
      <c r="AG12" s="60">
        <v>0.25</v>
      </c>
      <c r="AH12" s="60">
        <v>0.25</v>
      </c>
      <c r="AI12" s="60">
        <v>0.26</v>
      </c>
      <c r="AJ12" s="60">
        <v>0.27</v>
      </c>
      <c r="AK12" s="60">
        <v>0.27</v>
      </c>
      <c r="AL12" s="60">
        <v>0.28000000000000003</v>
      </c>
      <c r="AM12" s="60">
        <v>0.28999999999999998</v>
      </c>
      <c r="AN12" s="60">
        <v>0.26</v>
      </c>
      <c r="AO12" s="60">
        <v>0.27</v>
      </c>
      <c r="AP12" s="60">
        <v>0.27</v>
      </c>
      <c r="AQ12" s="60">
        <v>0.26</v>
      </c>
      <c r="AR12" s="60">
        <v>0.27</v>
      </c>
      <c r="AS12" s="60">
        <v>0.27</v>
      </c>
      <c r="AT12" s="60">
        <v>0.28000000000000003</v>
      </c>
      <c r="AU12" s="60">
        <v>0.28000000000000003</v>
      </c>
      <c r="AV12" s="60">
        <v>0.28999999999999998</v>
      </c>
      <c r="AW12" s="60">
        <v>0.28999999999999998</v>
      </c>
      <c r="AX12" s="60">
        <v>0.28999999999999998</v>
      </c>
      <c r="AY12" s="60">
        <v>0.28000000000000003</v>
      </c>
      <c r="AZ12" s="60">
        <v>0.28999999999999998</v>
      </c>
      <c r="BA12" s="60">
        <v>0.28000000000000003</v>
      </c>
      <c r="BB12" s="60">
        <v>0.27</v>
      </c>
      <c r="BC12" s="60">
        <v>0.23</v>
      </c>
      <c r="BD12" s="60">
        <v>0.23</v>
      </c>
      <c r="BE12" s="60">
        <v>0.23</v>
      </c>
      <c r="BF12" s="60">
        <v>0.24</v>
      </c>
      <c r="BG12" s="60">
        <v>0.24</v>
      </c>
      <c r="BH12" s="60">
        <v>0.24</v>
      </c>
      <c r="BI12" s="60">
        <v>0.25</v>
      </c>
      <c r="BJ12" s="60">
        <v>0.25</v>
      </c>
      <c r="BK12" s="60">
        <v>0.25</v>
      </c>
      <c r="BL12" s="60">
        <v>0.24</v>
      </c>
      <c r="BM12" s="60">
        <v>0.28999999999999998</v>
      </c>
      <c r="BN12" s="60">
        <v>0.25</v>
      </c>
      <c r="BO12" s="60">
        <v>0.28000000000000003</v>
      </c>
      <c r="BP12" s="60">
        <v>0.28000000000000003</v>
      </c>
      <c r="BQ12" s="60">
        <v>0.28000000000000003</v>
      </c>
      <c r="BR12" s="60">
        <v>0.28999999999999998</v>
      </c>
      <c r="BS12" s="60">
        <v>0.28999999999999998</v>
      </c>
      <c r="BT12" s="60">
        <v>0.28999999999999998</v>
      </c>
      <c r="BU12" s="60">
        <v>0.28999999999999998</v>
      </c>
      <c r="BV12" s="60">
        <v>0.3</v>
      </c>
      <c r="BW12" s="60">
        <v>0.3</v>
      </c>
      <c r="BX12" s="60">
        <v>0.3</v>
      </c>
      <c r="BY12" s="60">
        <v>0.3</v>
      </c>
      <c r="BZ12" s="60">
        <v>0.3</v>
      </c>
      <c r="CA12" s="60">
        <v>0.28999999999999998</v>
      </c>
      <c r="CB12" s="60">
        <v>0.28000000000000003</v>
      </c>
      <c r="CC12" s="60">
        <v>0.28000000000000003</v>
      </c>
      <c r="CD12" s="60">
        <v>0.28999999999999998</v>
      </c>
      <c r="CE12" s="60">
        <v>0.28999999999999998</v>
      </c>
      <c r="CF12" s="60">
        <v>0.28999999999999998</v>
      </c>
      <c r="CG12" s="60">
        <v>0.28999999999999998</v>
      </c>
      <c r="CH12" s="60">
        <v>0.28999999999999998</v>
      </c>
      <c r="CI12" s="60">
        <v>0.28999999999999998</v>
      </c>
      <c r="CJ12" s="60">
        <v>0.28000000000000003</v>
      </c>
      <c r="CK12" s="60">
        <v>0.28000000000000003</v>
      </c>
      <c r="CL12" s="60">
        <v>0.28000000000000003</v>
      </c>
      <c r="CM12" s="60">
        <v>0.28000000000000003</v>
      </c>
      <c r="CN12" s="60">
        <v>0.28999999999999998</v>
      </c>
      <c r="CO12" s="60">
        <v>0.26</v>
      </c>
    </row>
    <row r="13" spans="1:93" ht="14.4" x14ac:dyDescent="0.3">
      <c r="A13" s="56" t="s">
        <v>240</v>
      </c>
      <c r="B13" s="60">
        <v>-2.09</v>
      </c>
      <c r="C13" s="60">
        <v>-1.1299999999999999</v>
      </c>
      <c r="D13" s="60">
        <v>-0.53</v>
      </c>
      <c r="E13" s="60">
        <v>-0.24</v>
      </c>
      <c r="F13" s="60">
        <v>-7.0000000000000007E-2</v>
      </c>
      <c r="G13" s="60">
        <v>0.03</v>
      </c>
      <c r="H13" s="60">
        <v>0.08</v>
      </c>
      <c r="I13" s="60">
        <v>0.13</v>
      </c>
      <c r="J13" s="60">
        <v>0.17</v>
      </c>
      <c r="K13" s="60">
        <v>0.21</v>
      </c>
      <c r="L13" s="60">
        <v>0.24</v>
      </c>
      <c r="M13" s="60">
        <v>0.26</v>
      </c>
      <c r="N13" s="60">
        <v>0.04</v>
      </c>
      <c r="O13" s="60">
        <v>0.12</v>
      </c>
      <c r="P13" s="60">
        <v>0.15</v>
      </c>
      <c r="Q13" s="60">
        <v>0.18</v>
      </c>
      <c r="R13" s="60">
        <v>0.2</v>
      </c>
      <c r="S13" s="60">
        <v>0.21</v>
      </c>
      <c r="T13" s="60">
        <v>0.23</v>
      </c>
      <c r="U13" s="60">
        <v>0.24</v>
      </c>
      <c r="V13" s="60">
        <v>0.26</v>
      </c>
      <c r="W13" s="60">
        <v>0.27</v>
      </c>
      <c r="X13" s="60">
        <v>0.28000000000000003</v>
      </c>
      <c r="Y13" s="60">
        <v>0.28999999999999998</v>
      </c>
      <c r="Z13" s="60">
        <v>0.3</v>
      </c>
      <c r="AA13" s="60">
        <v>0.23</v>
      </c>
      <c r="AB13" s="60">
        <v>0.24</v>
      </c>
      <c r="AC13" s="60">
        <v>0.26</v>
      </c>
      <c r="AD13" s="60">
        <v>0.23</v>
      </c>
      <c r="AE13" s="60">
        <v>0.24</v>
      </c>
      <c r="AF13" s="60">
        <v>0.25</v>
      </c>
      <c r="AG13" s="60">
        <v>0.26</v>
      </c>
      <c r="AH13" s="60">
        <v>0.26</v>
      </c>
      <c r="AI13" s="60">
        <v>0.27</v>
      </c>
      <c r="AJ13" s="60">
        <v>0.28000000000000003</v>
      </c>
      <c r="AK13" s="60">
        <v>0.28000000000000003</v>
      </c>
      <c r="AL13" s="60">
        <v>0.28999999999999998</v>
      </c>
      <c r="AM13" s="60">
        <v>0.28999999999999998</v>
      </c>
      <c r="AN13" s="60">
        <v>0.26</v>
      </c>
      <c r="AO13" s="60">
        <v>0.27</v>
      </c>
      <c r="AP13" s="60">
        <v>0.28000000000000003</v>
      </c>
      <c r="AQ13" s="60">
        <v>0.27</v>
      </c>
      <c r="AR13" s="60">
        <v>0.27</v>
      </c>
      <c r="AS13" s="60">
        <v>0.28000000000000003</v>
      </c>
      <c r="AT13" s="60">
        <v>0.28000000000000003</v>
      </c>
      <c r="AU13" s="60">
        <v>0.28999999999999998</v>
      </c>
      <c r="AV13" s="60">
        <v>0.28999999999999998</v>
      </c>
      <c r="AW13" s="60">
        <v>0.3</v>
      </c>
      <c r="AX13" s="60">
        <v>0.3</v>
      </c>
      <c r="AY13" s="60">
        <v>0.28999999999999998</v>
      </c>
      <c r="AZ13" s="60">
        <v>0.28999999999999998</v>
      </c>
      <c r="BA13" s="60">
        <v>0.28000000000000003</v>
      </c>
      <c r="BB13" s="60">
        <v>0.27</v>
      </c>
      <c r="BC13" s="60">
        <v>0.26</v>
      </c>
      <c r="BD13" s="60">
        <v>0.24</v>
      </c>
      <c r="BE13" s="60">
        <v>0.24</v>
      </c>
      <c r="BF13" s="60">
        <v>0.24</v>
      </c>
      <c r="BG13" s="60">
        <v>0.24</v>
      </c>
      <c r="BH13" s="60">
        <v>0.25</v>
      </c>
      <c r="BI13" s="60">
        <v>0.25</v>
      </c>
      <c r="BJ13" s="60">
        <v>0.25</v>
      </c>
      <c r="BK13" s="60">
        <v>0.26</v>
      </c>
      <c r="BL13" s="60">
        <v>0.25</v>
      </c>
      <c r="BM13" s="60">
        <v>0.27</v>
      </c>
      <c r="BN13" s="60">
        <v>0.25</v>
      </c>
      <c r="BO13" s="60">
        <v>0.28000000000000003</v>
      </c>
      <c r="BP13" s="60">
        <v>0.28000000000000003</v>
      </c>
      <c r="BQ13" s="60">
        <v>0.28999999999999998</v>
      </c>
      <c r="BR13" s="60">
        <v>0.28999999999999998</v>
      </c>
      <c r="BS13" s="60">
        <v>0.28999999999999998</v>
      </c>
      <c r="BT13" s="60">
        <v>0.28999999999999998</v>
      </c>
      <c r="BU13" s="60">
        <v>0.3</v>
      </c>
      <c r="BV13" s="60">
        <v>0.3</v>
      </c>
      <c r="BW13" s="60">
        <v>0.3</v>
      </c>
      <c r="BX13" s="60">
        <v>0.3</v>
      </c>
      <c r="BY13" s="60">
        <v>0.3</v>
      </c>
      <c r="BZ13" s="60">
        <v>0.31</v>
      </c>
      <c r="CA13" s="60">
        <v>0.28999999999999998</v>
      </c>
      <c r="CB13" s="60">
        <v>0.28000000000000003</v>
      </c>
      <c r="CC13" s="60">
        <v>0.28999999999999998</v>
      </c>
      <c r="CD13" s="60">
        <v>0.28999999999999998</v>
      </c>
      <c r="CE13" s="60">
        <v>0.28999999999999998</v>
      </c>
      <c r="CF13" s="60">
        <v>0.28999999999999998</v>
      </c>
      <c r="CG13" s="60">
        <v>0.28999999999999998</v>
      </c>
      <c r="CH13" s="60">
        <v>0.28999999999999998</v>
      </c>
      <c r="CI13" s="60">
        <v>0.3</v>
      </c>
      <c r="CJ13" s="60">
        <v>0.28999999999999998</v>
      </c>
      <c r="CK13" s="60">
        <v>0.28000000000000003</v>
      </c>
      <c r="CL13" s="60">
        <v>0.28000000000000003</v>
      </c>
      <c r="CM13" s="60">
        <v>0.28000000000000003</v>
      </c>
      <c r="CN13" s="60">
        <v>0.28999999999999998</v>
      </c>
      <c r="CO13" s="60">
        <v>0.27</v>
      </c>
    </row>
    <row r="14" spans="1:93" ht="14.4" x14ac:dyDescent="0.3">
      <c r="A14" s="56" t="s">
        <v>241</v>
      </c>
    </row>
    <row r="15" spans="1:93" ht="14.4" x14ac:dyDescent="0.3">
      <c r="A15" s="56" t="s">
        <v>242</v>
      </c>
      <c r="B15" s="60">
        <v>-3.69</v>
      </c>
      <c r="C15" s="60">
        <v>-1.63</v>
      </c>
      <c r="D15" s="60">
        <v>-0.65</v>
      </c>
      <c r="E15" s="60">
        <v>-0.25</v>
      </c>
      <c r="F15" s="60">
        <v>-0.1</v>
      </c>
      <c r="G15" s="60">
        <v>-0.02</v>
      </c>
      <c r="H15" s="60">
        <v>0.01</v>
      </c>
      <c r="I15" s="60">
        <v>0.04</v>
      </c>
      <c r="J15" s="60">
        <v>0.05</v>
      </c>
      <c r="K15" s="60">
        <v>0.06</v>
      </c>
      <c r="L15" s="60">
        <v>7.0000000000000007E-2</v>
      </c>
      <c r="M15" s="60">
        <v>7.0000000000000007E-2</v>
      </c>
      <c r="N15" s="60">
        <v>-0.05</v>
      </c>
      <c r="O15" s="60">
        <v>0.03</v>
      </c>
      <c r="P15" s="60">
        <v>0.04</v>
      </c>
      <c r="Q15" s="60">
        <v>0.04</v>
      </c>
      <c r="R15" s="60">
        <v>0.05</v>
      </c>
      <c r="S15" s="60">
        <v>0.05</v>
      </c>
      <c r="T15" s="60">
        <v>0.06</v>
      </c>
      <c r="U15" s="60">
        <v>0.06</v>
      </c>
      <c r="V15" s="60">
        <v>0.06</v>
      </c>
      <c r="W15" s="60">
        <v>0.06</v>
      </c>
      <c r="X15" s="60">
        <v>7.0000000000000007E-2</v>
      </c>
      <c r="Y15" s="60">
        <v>7.0000000000000007E-2</v>
      </c>
      <c r="Z15" s="60">
        <v>7.0000000000000007E-2</v>
      </c>
      <c r="AA15" s="60">
        <v>0.56000000000000005</v>
      </c>
      <c r="AB15" s="60">
        <v>0.06</v>
      </c>
      <c r="AC15" s="60">
        <v>7.0000000000000007E-2</v>
      </c>
      <c r="AD15" s="60">
        <v>0.06</v>
      </c>
      <c r="AE15" s="60">
        <v>0.06</v>
      </c>
      <c r="AF15" s="60">
        <v>7.0000000000000007E-2</v>
      </c>
      <c r="AG15" s="60">
        <v>7.0000000000000007E-2</v>
      </c>
      <c r="AH15" s="60">
        <v>7.0000000000000007E-2</v>
      </c>
      <c r="AI15" s="60">
        <v>7.0000000000000007E-2</v>
      </c>
      <c r="AJ15" s="60">
        <v>0.08</v>
      </c>
      <c r="AK15" s="60">
        <v>0.08</v>
      </c>
      <c r="AL15" s="60">
        <v>0.08</v>
      </c>
      <c r="AM15" s="60">
        <v>0.08</v>
      </c>
      <c r="AN15" s="60">
        <v>0.76</v>
      </c>
      <c r="AO15" s="60">
        <v>0.08</v>
      </c>
      <c r="AP15" s="60">
        <v>0.08</v>
      </c>
      <c r="AQ15" s="60">
        <v>7.0000000000000007E-2</v>
      </c>
      <c r="AR15" s="60">
        <v>7.0000000000000007E-2</v>
      </c>
      <c r="AS15" s="60">
        <v>0.08</v>
      </c>
      <c r="AT15" s="60">
        <v>0.08</v>
      </c>
      <c r="AU15" s="60">
        <v>0.08</v>
      </c>
      <c r="AV15" s="60">
        <v>0.08</v>
      </c>
      <c r="AW15" s="60">
        <v>0.08</v>
      </c>
      <c r="AX15" s="60">
        <v>0.08</v>
      </c>
      <c r="AY15" s="60">
        <v>0.08</v>
      </c>
      <c r="AZ15" s="60">
        <v>0.08</v>
      </c>
      <c r="BA15" s="60">
        <v>0.84</v>
      </c>
      <c r="BB15" s="60">
        <v>7.0000000000000007E-2</v>
      </c>
      <c r="BC15" s="60">
        <v>0.06</v>
      </c>
      <c r="BD15" s="60">
        <v>0.06</v>
      </c>
      <c r="BE15" s="60">
        <v>0.06</v>
      </c>
      <c r="BF15" s="60">
        <v>0.06</v>
      </c>
      <c r="BG15" s="60">
        <v>0.06</v>
      </c>
      <c r="BH15" s="60">
        <v>0.06</v>
      </c>
      <c r="BI15" s="60">
        <v>0.06</v>
      </c>
      <c r="BJ15" s="60">
        <v>0.06</v>
      </c>
      <c r="BK15" s="60">
        <v>0.06</v>
      </c>
      <c r="BL15" s="60">
        <v>0.05</v>
      </c>
      <c r="BM15" s="60">
        <v>0.06</v>
      </c>
      <c r="BN15" s="60">
        <v>0.6</v>
      </c>
      <c r="BO15" s="60">
        <v>0.06</v>
      </c>
      <c r="BP15" s="60">
        <v>0.06</v>
      </c>
      <c r="BQ15" s="60">
        <v>0.06</v>
      </c>
      <c r="BR15" s="60">
        <v>0.06</v>
      </c>
      <c r="BS15" s="60">
        <v>0.06</v>
      </c>
      <c r="BT15" s="60">
        <v>0.05</v>
      </c>
      <c r="BU15" s="60">
        <v>0.05</v>
      </c>
      <c r="BV15" s="60">
        <v>0.05</v>
      </c>
      <c r="BW15" s="60">
        <v>0.05</v>
      </c>
      <c r="BX15" s="60">
        <v>0.05</v>
      </c>
      <c r="BY15" s="60">
        <v>0.05</v>
      </c>
      <c r="BZ15" s="60">
        <v>0.05</v>
      </c>
      <c r="CA15" s="60">
        <v>0.56000000000000005</v>
      </c>
      <c r="CB15" s="60">
        <v>0.05</v>
      </c>
      <c r="CC15" s="60">
        <v>0.05</v>
      </c>
      <c r="CD15" s="60">
        <v>0.04</v>
      </c>
      <c r="CE15" s="60">
        <v>0.04</v>
      </c>
      <c r="CF15" s="60">
        <v>0.04</v>
      </c>
      <c r="CG15" s="60">
        <v>0.04</v>
      </c>
      <c r="CH15" s="60">
        <v>0.04</v>
      </c>
      <c r="CI15" s="60">
        <v>0.04</v>
      </c>
      <c r="CJ15" s="60">
        <v>0.04</v>
      </c>
      <c r="CK15" s="60">
        <v>0.04</v>
      </c>
      <c r="CL15" s="60">
        <v>0.04</v>
      </c>
      <c r="CM15" s="60">
        <v>0.04</v>
      </c>
      <c r="CN15" s="60">
        <v>0.45</v>
      </c>
      <c r="CO15" s="60">
        <v>1.9</v>
      </c>
    </row>
    <row r="16" spans="1:93" ht="14.4" x14ac:dyDescent="0.3">
      <c r="A16" s="56" t="s">
        <v>243</v>
      </c>
      <c r="B16" s="60">
        <v>1</v>
      </c>
      <c r="C16" s="60">
        <v>0.56000000000000005</v>
      </c>
      <c r="D16" s="60">
        <v>0.28000000000000003</v>
      </c>
      <c r="E16" s="60">
        <v>0.15</v>
      </c>
      <c r="F16" s="60">
        <v>7.0000000000000007E-2</v>
      </c>
      <c r="G16" s="60">
        <v>0.02</v>
      </c>
      <c r="H16" s="60">
        <v>-0.02</v>
      </c>
      <c r="I16" s="60">
        <v>-7.0000000000000007E-2</v>
      </c>
      <c r="J16" s="60">
        <v>-0.14000000000000001</v>
      </c>
      <c r="K16" s="60">
        <v>-0.23</v>
      </c>
      <c r="L16" s="60">
        <v>-0.4</v>
      </c>
      <c r="M16" s="60">
        <v>-0.86</v>
      </c>
      <c r="N16" s="60">
        <v>1</v>
      </c>
      <c r="O16" s="60">
        <v>-1.22</v>
      </c>
      <c r="P16" s="60">
        <v>10.53</v>
      </c>
      <c r="Q16" s="60">
        <v>1.91</v>
      </c>
      <c r="R16" s="60">
        <v>1.1200000000000001</v>
      </c>
      <c r="S16" s="60">
        <v>0.82</v>
      </c>
      <c r="T16" s="60">
        <v>0.65</v>
      </c>
      <c r="U16" s="60">
        <v>0.54</v>
      </c>
      <c r="V16" s="60">
        <v>0.47</v>
      </c>
      <c r="W16" s="60">
        <v>0.41</v>
      </c>
      <c r="X16" s="60">
        <v>0.37</v>
      </c>
      <c r="Y16" s="60">
        <v>0.33</v>
      </c>
      <c r="Z16" s="60">
        <v>0.3</v>
      </c>
      <c r="AA16" s="60">
        <v>4.5599999999999996</v>
      </c>
      <c r="AB16" s="60">
        <v>0.23</v>
      </c>
      <c r="AC16" s="60">
        <v>0.22</v>
      </c>
      <c r="AD16" s="60">
        <v>0.18</v>
      </c>
      <c r="AE16" s="60">
        <v>0.18</v>
      </c>
      <c r="AF16" s="60">
        <v>0.17</v>
      </c>
      <c r="AG16" s="60">
        <v>0.17</v>
      </c>
      <c r="AH16" s="60">
        <v>0.16</v>
      </c>
      <c r="AI16" s="60">
        <v>0.16</v>
      </c>
      <c r="AJ16" s="60">
        <v>0.15</v>
      </c>
      <c r="AK16" s="60">
        <v>0.15</v>
      </c>
      <c r="AL16" s="60">
        <v>0.15</v>
      </c>
      <c r="AM16" s="60">
        <v>0.14000000000000001</v>
      </c>
      <c r="AN16" s="60">
        <v>1.9</v>
      </c>
      <c r="AO16" s="60">
        <v>0.13</v>
      </c>
      <c r="AP16" s="60">
        <v>0.12</v>
      </c>
      <c r="AQ16" s="60">
        <v>0.11</v>
      </c>
      <c r="AR16" s="60">
        <v>0.11</v>
      </c>
      <c r="AS16" s="60">
        <v>0.11</v>
      </c>
      <c r="AT16" s="60">
        <v>0.11</v>
      </c>
      <c r="AU16" s="60">
        <v>0.1</v>
      </c>
      <c r="AV16" s="60">
        <v>0.1</v>
      </c>
      <c r="AW16" s="60">
        <v>0.1</v>
      </c>
      <c r="AX16" s="60">
        <v>0.1</v>
      </c>
      <c r="AY16" s="60">
        <v>0.09</v>
      </c>
      <c r="AZ16" s="60">
        <v>0.09</v>
      </c>
      <c r="BA16" s="60">
        <v>1.23</v>
      </c>
      <c r="BB16" s="60">
        <v>0.08</v>
      </c>
      <c r="BC16" s="60">
        <v>7.0000000000000007E-2</v>
      </c>
      <c r="BD16" s="60">
        <v>7.0000000000000007E-2</v>
      </c>
      <c r="BE16" s="60">
        <v>7.0000000000000007E-2</v>
      </c>
      <c r="BF16" s="60">
        <v>0.06</v>
      </c>
      <c r="BG16" s="60">
        <v>0.06</v>
      </c>
      <c r="BH16" s="60">
        <v>0.06</v>
      </c>
      <c r="BI16" s="60">
        <v>0.06</v>
      </c>
      <c r="BJ16" s="60">
        <v>0.06</v>
      </c>
      <c r="BK16" s="60">
        <v>0.06</v>
      </c>
      <c r="BL16" s="60">
        <v>0.06</v>
      </c>
      <c r="BM16" s="60">
        <v>7.0000000000000007E-2</v>
      </c>
      <c r="BN16" s="60">
        <v>0.78</v>
      </c>
      <c r="BO16" s="60">
        <v>0.06</v>
      </c>
      <c r="BP16" s="60">
        <v>0.06</v>
      </c>
      <c r="BQ16" s="60">
        <v>0.06</v>
      </c>
      <c r="BR16" s="60">
        <v>0.06</v>
      </c>
      <c r="BS16" s="60">
        <v>0.06</v>
      </c>
      <c r="BT16" s="60">
        <v>0.06</v>
      </c>
      <c r="BU16" s="60">
        <v>0.06</v>
      </c>
      <c r="BV16" s="60">
        <v>0.06</v>
      </c>
      <c r="BW16" s="60">
        <v>0.06</v>
      </c>
      <c r="BX16" s="60">
        <v>0.06</v>
      </c>
      <c r="BY16" s="60">
        <v>0.06</v>
      </c>
      <c r="BZ16" s="60">
        <v>0.05</v>
      </c>
      <c r="CA16" s="60">
        <v>0.7</v>
      </c>
      <c r="CB16" s="60">
        <v>0.05</v>
      </c>
      <c r="CC16" s="60">
        <v>0.05</v>
      </c>
      <c r="CD16" s="60">
        <v>0.05</v>
      </c>
      <c r="CE16" s="60">
        <v>0.05</v>
      </c>
      <c r="CF16" s="60">
        <v>0.05</v>
      </c>
      <c r="CG16" s="60">
        <v>0.05</v>
      </c>
      <c r="CH16" s="60">
        <v>0.05</v>
      </c>
      <c r="CI16" s="60">
        <v>0.05</v>
      </c>
      <c r="CJ16" s="60">
        <v>0.04</v>
      </c>
      <c r="CK16" s="60">
        <v>0.04</v>
      </c>
      <c r="CL16" s="60">
        <v>0.04</v>
      </c>
      <c r="CM16" s="60">
        <v>0.04</v>
      </c>
      <c r="CN16" s="60">
        <v>0.54</v>
      </c>
      <c r="CO16" s="60">
        <v>2</v>
      </c>
    </row>
    <row r="17" spans="1:93" ht="14.4" x14ac:dyDescent="0.3">
      <c r="A17" s="56" t="s">
        <v>244</v>
      </c>
      <c r="B17" s="60">
        <v>12.58</v>
      </c>
      <c r="C17" s="60">
        <v>-20.58</v>
      </c>
      <c r="D17" s="60">
        <v>-1.66</v>
      </c>
      <c r="E17" s="60">
        <v>-0.44</v>
      </c>
      <c r="F17" s="60">
        <v>-0.14000000000000001</v>
      </c>
      <c r="G17" s="60">
        <v>-0.03</v>
      </c>
      <c r="H17" s="60">
        <v>0.02</v>
      </c>
      <c r="I17" s="60">
        <v>0.05</v>
      </c>
      <c r="J17" s="60">
        <v>7.0000000000000007E-2</v>
      </c>
      <c r="K17" s="60">
        <v>7.0000000000000007E-2</v>
      </c>
      <c r="L17" s="60">
        <v>0.08</v>
      </c>
      <c r="M17" s="60">
        <v>0.08</v>
      </c>
      <c r="N17" s="60">
        <v>-0.05</v>
      </c>
      <c r="O17" s="60">
        <v>0.03</v>
      </c>
      <c r="P17" s="60">
        <v>0.04</v>
      </c>
      <c r="Q17" s="60">
        <v>0.05</v>
      </c>
      <c r="R17" s="60">
        <v>0.05</v>
      </c>
      <c r="S17" s="60">
        <v>0.06</v>
      </c>
      <c r="T17" s="60">
        <v>0.06</v>
      </c>
      <c r="U17" s="60">
        <v>7.0000000000000007E-2</v>
      </c>
      <c r="V17" s="60">
        <v>7.0000000000000007E-2</v>
      </c>
      <c r="W17" s="60">
        <v>7.0000000000000007E-2</v>
      </c>
      <c r="X17" s="60">
        <v>0.08</v>
      </c>
      <c r="Y17" s="60">
        <v>0.08</v>
      </c>
      <c r="Z17" s="60">
        <v>0.08</v>
      </c>
      <c r="AA17" s="60">
        <v>0.62</v>
      </c>
      <c r="AB17" s="60">
        <v>7.0000000000000007E-2</v>
      </c>
      <c r="AC17" s="60">
        <v>7.0000000000000007E-2</v>
      </c>
      <c r="AD17" s="60">
        <v>7.0000000000000007E-2</v>
      </c>
      <c r="AE17" s="60">
        <v>7.0000000000000007E-2</v>
      </c>
      <c r="AF17" s="60">
        <v>0.08</v>
      </c>
      <c r="AG17" s="60">
        <v>0.08</v>
      </c>
      <c r="AH17" s="60">
        <v>0.08</v>
      </c>
      <c r="AI17" s="60">
        <v>0.08</v>
      </c>
      <c r="AJ17" s="60">
        <v>0.09</v>
      </c>
      <c r="AK17" s="60">
        <v>0.09</v>
      </c>
      <c r="AL17" s="60">
        <v>0.09</v>
      </c>
      <c r="AM17" s="60">
        <v>0.09</v>
      </c>
      <c r="AN17" s="60">
        <v>0.86</v>
      </c>
      <c r="AO17" s="60">
        <v>0.08</v>
      </c>
      <c r="AP17" s="60">
        <v>0.09</v>
      </c>
      <c r="AQ17" s="60">
        <v>0.08</v>
      </c>
      <c r="AR17" s="60">
        <v>0.08</v>
      </c>
      <c r="AS17" s="60">
        <v>0.08</v>
      </c>
      <c r="AT17" s="60">
        <v>0.09</v>
      </c>
      <c r="AU17" s="60">
        <v>0.09</v>
      </c>
      <c r="AV17" s="60">
        <v>0.09</v>
      </c>
      <c r="AW17" s="60">
        <v>0.09</v>
      </c>
      <c r="AX17" s="60">
        <v>0.09</v>
      </c>
      <c r="AY17" s="60">
        <v>0.09</v>
      </c>
      <c r="AZ17" s="60">
        <v>0.09</v>
      </c>
      <c r="BA17" s="60">
        <v>0.94</v>
      </c>
      <c r="BB17" s="60">
        <v>0.08</v>
      </c>
      <c r="BC17" s="60">
        <v>7.0000000000000007E-2</v>
      </c>
      <c r="BD17" s="60">
        <v>0.06</v>
      </c>
      <c r="BE17" s="60">
        <v>0.06</v>
      </c>
      <c r="BF17" s="60">
        <v>0.06</v>
      </c>
      <c r="BG17" s="60">
        <v>0.06</v>
      </c>
      <c r="BH17" s="60">
        <v>0.06</v>
      </c>
      <c r="BI17" s="60">
        <v>0.06</v>
      </c>
      <c r="BJ17" s="60">
        <v>0.06</v>
      </c>
      <c r="BK17" s="60">
        <v>0.06</v>
      </c>
      <c r="BL17" s="60">
        <v>0.06</v>
      </c>
      <c r="BM17" s="60">
        <v>7.0000000000000007E-2</v>
      </c>
      <c r="BN17" s="60">
        <v>0.65</v>
      </c>
      <c r="BO17" s="60">
        <v>0.06</v>
      </c>
      <c r="BP17" s="60">
        <v>0.06</v>
      </c>
      <c r="BQ17" s="60">
        <v>0.06</v>
      </c>
      <c r="BR17" s="60">
        <v>0.06</v>
      </c>
      <c r="BS17" s="60">
        <v>0.06</v>
      </c>
      <c r="BT17" s="60">
        <v>0.06</v>
      </c>
      <c r="BU17" s="60">
        <v>0.06</v>
      </c>
      <c r="BV17" s="60">
        <v>0.06</v>
      </c>
      <c r="BW17" s="60">
        <v>0.06</v>
      </c>
      <c r="BX17" s="60">
        <v>0.06</v>
      </c>
      <c r="BY17" s="60">
        <v>0.05</v>
      </c>
      <c r="BZ17" s="60">
        <v>0.05</v>
      </c>
      <c r="CA17" s="60">
        <v>0.6</v>
      </c>
      <c r="CB17" s="60">
        <v>0.05</v>
      </c>
      <c r="CC17" s="60">
        <v>0.05</v>
      </c>
      <c r="CD17" s="60">
        <v>0.05</v>
      </c>
      <c r="CE17" s="60">
        <v>0.05</v>
      </c>
      <c r="CF17" s="60">
        <v>0.05</v>
      </c>
      <c r="CG17" s="60">
        <v>0.05</v>
      </c>
      <c r="CH17" s="60">
        <v>0.05</v>
      </c>
      <c r="CI17" s="60">
        <v>0.04</v>
      </c>
      <c r="CJ17" s="60">
        <v>0.04</v>
      </c>
      <c r="CK17" s="60">
        <v>0.04</v>
      </c>
      <c r="CL17" s="60">
        <v>0.04</v>
      </c>
      <c r="CM17" s="60">
        <v>0.04</v>
      </c>
      <c r="CN17" s="60">
        <v>0.48</v>
      </c>
      <c r="CO17" s="60">
        <v>2</v>
      </c>
    </row>
    <row r="18" spans="1:93" ht="14.4" x14ac:dyDescent="0.3">
      <c r="A18" s="56" t="s">
        <v>169</v>
      </c>
    </row>
    <row r="19" spans="1:93" ht="14.4" x14ac:dyDescent="0.3">
      <c r="A19" s="56" t="s">
        <v>245</v>
      </c>
    </row>
    <row r="20" spans="1:93" ht="14.4" x14ac:dyDescent="0.3">
      <c r="A20" s="56" t="s">
        <v>246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7">
        <v>0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57">
        <v>0</v>
      </c>
      <c r="Z20" s="57">
        <v>0</v>
      </c>
      <c r="AA20" s="57">
        <v>0</v>
      </c>
      <c r="AB20" s="57">
        <v>0</v>
      </c>
      <c r="AC20" s="57">
        <v>0</v>
      </c>
      <c r="AD20" s="57">
        <v>0</v>
      </c>
      <c r="AE20" s="57">
        <v>0</v>
      </c>
      <c r="AF20" s="57">
        <v>0</v>
      </c>
      <c r="AG20" s="57">
        <v>0</v>
      </c>
      <c r="AH20" s="57">
        <v>0</v>
      </c>
      <c r="AI20" s="57">
        <v>0</v>
      </c>
      <c r="AJ20" s="57">
        <v>0</v>
      </c>
      <c r="AK20" s="57">
        <v>0</v>
      </c>
      <c r="AL20" s="57">
        <v>0</v>
      </c>
      <c r="AM20" s="57">
        <v>0</v>
      </c>
      <c r="AN20" s="57">
        <v>0</v>
      </c>
      <c r="AO20" s="57">
        <v>0</v>
      </c>
      <c r="AP20" s="57">
        <v>0</v>
      </c>
      <c r="AQ20" s="57">
        <v>0</v>
      </c>
      <c r="AR20" s="57">
        <v>0</v>
      </c>
      <c r="AS20" s="57">
        <v>0</v>
      </c>
      <c r="AT20" s="57">
        <v>0</v>
      </c>
      <c r="AU20" s="57">
        <v>0</v>
      </c>
      <c r="AV20" s="57">
        <v>0</v>
      </c>
      <c r="AW20" s="57">
        <v>0</v>
      </c>
      <c r="AX20" s="57">
        <v>0</v>
      </c>
      <c r="AY20" s="57">
        <v>0</v>
      </c>
      <c r="AZ20" s="57">
        <v>0</v>
      </c>
      <c r="BA20" s="57">
        <v>0</v>
      </c>
      <c r="BB20" s="57">
        <v>0</v>
      </c>
      <c r="BC20" s="57">
        <v>0</v>
      </c>
      <c r="BD20" s="57">
        <v>0</v>
      </c>
      <c r="BE20" s="57">
        <v>0</v>
      </c>
      <c r="BF20" s="57">
        <v>0</v>
      </c>
      <c r="BG20" s="57">
        <v>0</v>
      </c>
      <c r="BH20" s="57">
        <v>0</v>
      </c>
      <c r="BI20" s="57">
        <v>0</v>
      </c>
      <c r="BJ20" s="57">
        <v>0</v>
      </c>
      <c r="BK20" s="57">
        <v>0</v>
      </c>
      <c r="BL20" s="57">
        <v>0</v>
      </c>
      <c r="BM20" s="57">
        <v>0</v>
      </c>
      <c r="BN20" s="57">
        <v>0</v>
      </c>
      <c r="BO20" s="57">
        <v>0</v>
      </c>
      <c r="BP20" s="57">
        <v>0</v>
      </c>
      <c r="BQ20" s="57">
        <v>0</v>
      </c>
      <c r="BR20" s="57">
        <v>0</v>
      </c>
      <c r="BS20" s="57">
        <v>0</v>
      </c>
      <c r="BT20" s="57">
        <v>0</v>
      </c>
      <c r="BU20" s="57">
        <v>0</v>
      </c>
      <c r="BV20" s="57">
        <v>0</v>
      </c>
      <c r="BW20" s="57">
        <v>0</v>
      </c>
      <c r="BX20" s="57">
        <v>0</v>
      </c>
      <c r="BY20" s="57">
        <v>0</v>
      </c>
      <c r="BZ20" s="57">
        <v>0</v>
      </c>
      <c r="CA20" s="57">
        <v>0</v>
      </c>
      <c r="CB20" s="57">
        <v>0</v>
      </c>
      <c r="CC20" s="57">
        <v>0</v>
      </c>
      <c r="CD20" s="57">
        <v>0</v>
      </c>
      <c r="CE20" s="57">
        <v>0</v>
      </c>
      <c r="CF20" s="57">
        <v>0</v>
      </c>
      <c r="CG20" s="57">
        <v>0</v>
      </c>
      <c r="CH20" s="57">
        <v>0</v>
      </c>
      <c r="CI20" s="57">
        <v>0</v>
      </c>
      <c r="CJ20" s="57">
        <v>0</v>
      </c>
      <c r="CK20" s="57">
        <v>0</v>
      </c>
      <c r="CL20" s="57">
        <v>0</v>
      </c>
      <c r="CM20" s="57">
        <v>0</v>
      </c>
      <c r="CN20" s="57">
        <v>0</v>
      </c>
      <c r="CO20" s="57">
        <v>0</v>
      </c>
    </row>
    <row r="21" spans="1:93" ht="15.75" customHeight="1" x14ac:dyDescent="0.3">
      <c r="A21" s="56" t="s">
        <v>247</v>
      </c>
      <c r="B21" s="57">
        <v>0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57">
        <v>0</v>
      </c>
      <c r="Q21" s="57">
        <v>0</v>
      </c>
      <c r="R21" s="57">
        <v>0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57">
        <v>0</v>
      </c>
      <c r="Y21" s="57">
        <v>0</v>
      </c>
      <c r="Z21" s="57">
        <v>0</v>
      </c>
      <c r="AA21" s="57">
        <v>0</v>
      </c>
      <c r="AB21" s="57">
        <v>0</v>
      </c>
      <c r="AC21" s="57">
        <v>0</v>
      </c>
      <c r="AD21" s="57">
        <v>0</v>
      </c>
      <c r="AE21" s="57">
        <v>0</v>
      </c>
      <c r="AF21" s="57">
        <v>0</v>
      </c>
      <c r="AG21" s="57">
        <v>0</v>
      </c>
      <c r="AH21" s="57">
        <v>0</v>
      </c>
      <c r="AI21" s="57">
        <v>0</v>
      </c>
      <c r="AJ21" s="57">
        <v>0</v>
      </c>
      <c r="AK21" s="57">
        <v>0</v>
      </c>
      <c r="AL21" s="57">
        <v>0</v>
      </c>
      <c r="AM21" s="57">
        <v>0</v>
      </c>
      <c r="AN21" s="57">
        <v>0</v>
      </c>
      <c r="AO21" s="57">
        <v>0</v>
      </c>
      <c r="AP21" s="57">
        <v>0</v>
      </c>
      <c r="AQ21" s="57">
        <v>0</v>
      </c>
      <c r="AR21" s="57">
        <v>0</v>
      </c>
      <c r="AS21" s="57">
        <v>0</v>
      </c>
      <c r="AT21" s="57">
        <v>0</v>
      </c>
      <c r="AU21" s="57">
        <v>0</v>
      </c>
      <c r="AV21" s="57">
        <v>0</v>
      </c>
      <c r="AW21" s="57">
        <v>0</v>
      </c>
      <c r="AX21" s="57">
        <v>0</v>
      </c>
      <c r="AY21" s="57">
        <v>0</v>
      </c>
      <c r="AZ21" s="57">
        <v>0</v>
      </c>
      <c r="BA21" s="57">
        <v>0</v>
      </c>
      <c r="BB21" s="57">
        <v>0</v>
      </c>
      <c r="BC21" s="57">
        <v>0</v>
      </c>
      <c r="BD21" s="57">
        <v>0</v>
      </c>
      <c r="BE21" s="57">
        <v>0</v>
      </c>
      <c r="BF21" s="57">
        <v>0</v>
      </c>
      <c r="BG21" s="57">
        <v>0</v>
      </c>
      <c r="BH21" s="57">
        <v>0</v>
      </c>
      <c r="BI21" s="57">
        <v>0</v>
      </c>
      <c r="BJ21" s="57">
        <v>0</v>
      </c>
      <c r="BK21" s="57">
        <v>0</v>
      </c>
      <c r="BL21" s="57">
        <v>0</v>
      </c>
      <c r="BM21" s="57">
        <v>0</v>
      </c>
      <c r="BN21" s="57">
        <v>0</v>
      </c>
      <c r="BO21" s="57">
        <v>0</v>
      </c>
      <c r="BP21" s="57">
        <v>0</v>
      </c>
      <c r="BQ21" s="57">
        <v>0</v>
      </c>
      <c r="BR21" s="57">
        <v>0</v>
      </c>
      <c r="BS21" s="57">
        <v>0</v>
      </c>
      <c r="BT21" s="57">
        <v>0</v>
      </c>
      <c r="BU21" s="57">
        <v>0</v>
      </c>
      <c r="BV21" s="57">
        <v>0</v>
      </c>
      <c r="BW21" s="57">
        <v>0</v>
      </c>
      <c r="BX21" s="57">
        <v>0</v>
      </c>
      <c r="BY21" s="57">
        <v>0</v>
      </c>
      <c r="BZ21" s="57">
        <v>0</v>
      </c>
      <c r="CA21" s="57">
        <v>0</v>
      </c>
      <c r="CB21" s="57">
        <v>0</v>
      </c>
      <c r="CC21" s="57">
        <v>0</v>
      </c>
      <c r="CD21" s="57">
        <v>0</v>
      </c>
      <c r="CE21" s="57">
        <v>0</v>
      </c>
      <c r="CF21" s="57">
        <v>0</v>
      </c>
      <c r="CG21" s="57">
        <v>0</v>
      </c>
      <c r="CH21" s="57">
        <v>0</v>
      </c>
      <c r="CI21" s="57">
        <v>0</v>
      </c>
      <c r="CJ21" s="57">
        <v>0</v>
      </c>
      <c r="CK21" s="57">
        <v>0</v>
      </c>
      <c r="CL21" s="57">
        <v>0</v>
      </c>
      <c r="CM21" s="57">
        <v>0</v>
      </c>
      <c r="CN21" s="57">
        <v>0</v>
      </c>
      <c r="CO21" s="57">
        <v>0</v>
      </c>
    </row>
    <row r="22" spans="1:93" ht="15.75" customHeight="1" x14ac:dyDescent="0.3">
      <c r="A22" s="56" t="s">
        <v>248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7">
        <v>0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57">
        <v>0</v>
      </c>
      <c r="Z22" s="57">
        <v>0</v>
      </c>
      <c r="AA22" s="57">
        <v>0</v>
      </c>
      <c r="AB22" s="57">
        <v>0</v>
      </c>
      <c r="AC22" s="57">
        <v>0</v>
      </c>
      <c r="AD22" s="57">
        <v>0</v>
      </c>
      <c r="AE22" s="57">
        <v>0</v>
      </c>
      <c r="AF22" s="57">
        <v>0</v>
      </c>
      <c r="AG22" s="57">
        <v>0</v>
      </c>
      <c r="AH22" s="57">
        <v>0</v>
      </c>
      <c r="AI22" s="57">
        <v>0</v>
      </c>
      <c r="AJ22" s="57">
        <v>0</v>
      </c>
      <c r="AK22" s="57">
        <v>0</v>
      </c>
      <c r="AL22" s="57">
        <v>0</v>
      </c>
      <c r="AM22" s="57">
        <v>0</v>
      </c>
      <c r="AN22" s="57">
        <v>0</v>
      </c>
      <c r="AO22" s="57">
        <v>0</v>
      </c>
      <c r="AP22" s="57">
        <v>0</v>
      </c>
      <c r="AQ22" s="57">
        <v>0</v>
      </c>
      <c r="AR22" s="57">
        <v>0</v>
      </c>
      <c r="AS22" s="57">
        <v>0</v>
      </c>
      <c r="AT22" s="57">
        <v>0</v>
      </c>
      <c r="AU22" s="57">
        <v>0</v>
      </c>
      <c r="AV22" s="57">
        <v>0</v>
      </c>
      <c r="AW22" s="57">
        <v>0</v>
      </c>
      <c r="AX22" s="57">
        <v>0</v>
      </c>
      <c r="AY22" s="57">
        <v>0</v>
      </c>
      <c r="AZ22" s="57">
        <v>0</v>
      </c>
      <c r="BA22" s="57">
        <v>0</v>
      </c>
      <c r="BB22" s="57">
        <v>0</v>
      </c>
      <c r="BC22" s="57">
        <v>0</v>
      </c>
      <c r="BD22" s="57">
        <v>0</v>
      </c>
      <c r="BE22" s="57">
        <v>0</v>
      </c>
      <c r="BF22" s="57">
        <v>0</v>
      </c>
      <c r="BG22" s="57">
        <v>0</v>
      </c>
      <c r="BH22" s="57">
        <v>0</v>
      </c>
      <c r="BI22" s="57">
        <v>0</v>
      </c>
      <c r="BJ22" s="57">
        <v>0</v>
      </c>
      <c r="BK22" s="57">
        <v>0</v>
      </c>
      <c r="BL22" s="57">
        <v>0</v>
      </c>
      <c r="BM22" s="57">
        <v>0</v>
      </c>
      <c r="BN22" s="57">
        <v>0</v>
      </c>
      <c r="BO22" s="57">
        <v>0</v>
      </c>
      <c r="BP22" s="57">
        <v>0</v>
      </c>
      <c r="BQ22" s="57">
        <v>0</v>
      </c>
      <c r="BR22" s="57">
        <v>0</v>
      </c>
      <c r="BS22" s="57">
        <v>0</v>
      </c>
      <c r="BT22" s="57">
        <v>0</v>
      </c>
      <c r="BU22" s="57">
        <v>0</v>
      </c>
      <c r="BV22" s="57">
        <v>0</v>
      </c>
      <c r="BW22" s="57">
        <v>0</v>
      </c>
      <c r="BX22" s="57">
        <v>0</v>
      </c>
      <c r="BY22" s="57">
        <v>0</v>
      </c>
      <c r="BZ22" s="57">
        <v>0</v>
      </c>
      <c r="CA22" s="57">
        <v>0</v>
      </c>
      <c r="CB22" s="57">
        <v>0</v>
      </c>
      <c r="CC22" s="57">
        <v>0</v>
      </c>
      <c r="CD22" s="57">
        <v>0</v>
      </c>
      <c r="CE22" s="57">
        <v>0</v>
      </c>
      <c r="CF22" s="57">
        <v>0</v>
      </c>
      <c r="CG22" s="57">
        <v>0</v>
      </c>
      <c r="CH22" s="57">
        <v>0</v>
      </c>
      <c r="CI22" s="57">
        <v>0</v>
      </c>
      <c r="CJ22" s="57">
        <v>0</v>
      </c>
      <c r="CK22" s="57">
        <v>0</v>
      </c>
      <c r="CL22" s="57">
        <v>0</v>
      </c>
      <c r="CM22" s="57">
        <v>0</v>
      </c>
      <c r="CN22" s="57">
        <v>0</v>
      </c>
      <c r="CO22" s="57">
        <v>0</v>
      </c>
    </row>
    <row r="23" spans="1:93" ht="15.75" customHeight="1" x14ac:dyDescent="0.3">
      <c r="A23" s="56" t="s">
        <v>249</v>
      </c>
      <c r="B23" s="57">
        <v>4</v>
      </c>
      <c r="C23" s="59">
        <v>2.14</v>
      </c>
      <c r="D23" s="59">
        <v>2.12</v>
      </c>
      <c r="E23" s="59">
        <v>2.11</v>
      </c>
      <c r="F23" s="59">
        <v>2.13</v>
      </c>
      <c r="G23" s="59">
        <v>2.12</v>
      </c>
      <c r="H23" s="59">
        <v>2.1</v>
      </c>
      <c r="I23" s="59">
        <v>2.09</v>
      </c>
      <c r="J23" s="59">
        <v>2.08</v>
      </c>
      <c r="K23" s="59">
        <v>2.08</v>
      </c>
      <c r="L23" s="59">
        <v>2.0699999999999998</v>
      </c>
      <c r="M23" s="59">
        <v>2.06</v>
      </c>
      <c r="N23" s="59">
        <v>31.3</v>
      </c>
      <c r="O23" s="59">
        <v>2.0499999999999998</v>
      </c>
      <c r="P23" s="59">
        <v>2.0499999999999998</v>
      </c>
      <c r="Q23" s="59">
        <v>2.0499999999999998</v>
      </c>
      <c r="R23" s="59">
        <v>2.0499999999999998</v>
      </c>
      <c r="S23" s="59">
        <v>2.04</v>
      </c>
      <c r="T23" s="59">
        <v>2.04</v>
      </c>
      <c r="U23" s="59">
        <v>2.04</v>
      </c>
      <c r="V23" s="59">
        <v>2.04</v>
      </c>
      <c r="W23" s="59">
        <v>2.0299999999999998</v>
      </c>
      <c r="X23" s="59">
        <v>2.0299999999999998</v>
      </c>
      <c r="Y23" s="59">
        <v>2.0299999999999998</v>
      </c>
      <c r="Z23" s="59">
        <v>2.0299999999999998</v>
      </c>
      <c r="AA23" s="59">
        <v>24.66</v>
      </c>
      <c r="AB23" s="59">
        <v>2.0099999999999998</v>
      </c>
      <c r="AC23" s="59">
        <v>2.0299999999999998</v>
      </c>
      <c r="AD23" s="59">
        <v>2.04</v>
      </c>
      <c r="AE23" s="59">
        <v>2.02</v>
      </c>
      <c r="AF23" s="59">
        <v>2.02</v>
      </c>
      <c r="AG23" s="59">
        <v>2.02</v>
      </c>
      <c r="AH23" s="59">
        <v>2.02</v>
      </c>
      <c r="AI23" s="59">
        <v>2.02</v>
      </c>
      <c r="AJ23" s="59">
        <v>2.02</v>
      </c>
      <c r="AK23" s="59">
        <v>2.02</v>
      </c>
      <c r="AL23" s="59">
        <v>2.02</v>
      </c>
      <c r="AM23" s="59">
        <v>2.02</v>
      </c>
      <c r="AN23" s="59">
        <v>24.25</v>
      </c>
      <c r="AO23" s="59">
        <v>1.99</v>
      </c>
      <c r="AP23" s="59">
        <v>2.02</v>
      </c>
      <c r="AQ23" s="59">
        <v>2.02</v>
      </c>
      <c r="AR23" s="59">
        <v>2.0099999999999998</v>
      </c>
      <c r="AS23" s="59">
        <v>2.0099999999999998</v>
      </c>
      <c r="AT23" s="59">
        <v>2.0099999999999998</v>
      </c>
      <c r="AU23" s="59">
        <v>2.0099999999999998</v>
      </c>
      <c r="AV23" s="59">
        <v>2.0099999999999998</v>
      </c>
      <c r="AW23" s="59">
        <v>2.0099999999999998</v>
      </c>
      <c r="AX23" s="59">
        <v>2.0099999999999998</v>
      </c>
      <c r="AY23" s="59">
        <v>2.02</v>
      </c>
      <c r="AZ23" s="59">
        <v>2.0099999999999998</v>
      </c>
      <c r="BA23" s="59">
        <v>23.96</v>
      </c>
      <c r="BB23" s="59">
        <v>1.99</v>
      </c>
      <c r="BC23" s="59">
        <v>2.12</v>
      </c>
      <c r="BD23" s="59">
        <v>2.0099999999999998</v>
      </c>
      <c r="BE23" s="59">
        <v>2.0099999999999998</v>
      </c>
      <c r="BF23" s="59">
        <v>2.0099999999999998</v>
      </c>
      <c r="BG23" s="59">
        <v>2.0099999999999998</v>
      </c>
      <c r="BH23" s="59">
        <v>2.0099999999999998</v>
      </c>
      <c r="BI23" s="59">
        <v>2.0099999999999998</v>
      </c>
      <c r="BJ23" s="59">
        <v>2.0099999999999998</v>
      </c>
      <c r="BK23" s="59">
        <v>2.0099999999999998</v>
      </c>
      <c r="BL23" s="59">
        <v>2.0099999999999998</v>
      </c>
      <c r="BM23" s="59">
        <v>1.9</v>
      </c>
      <c r="BN23" s="59">
        <v>26.12</v>
      </c>
      <c r="BO23" s="59">
        <v>1.99</v>
      </c>
      <c r="BP23" s="59">
        <v>2.0099999999999998</v>
      </c>
      <c r="BQ23" s="59">
        <v>2.0099999999999998</v>
      </c>
      <c r="BR23" s="59">
        <v>2.0099999999999998</v>
      </c>
      <c r="BS23" s="59">
        <v>2.0099999999999998</v>
      </c>
      <c r="BT23" s="59">
        <v>2.0099999999999998</v>
      </c>
      <c r="BU23" s="59">
        <v>2.0099999999999998</v>
      </c>
      <c r="BV23" s="59">
        <v>2.0099999999999998</v>
      </c>
      <c r="BW23" s="59">
        <v>2.0099999999999998</v>
      </c>
      <c r="BX23" s="59">
        <v>2.0099999999999998</v>
      </c>
      <c r="BY23" s="59">
        <v>2.0099999999999998</v>
      </c>
      <c r="BZ23" s="59">
        <v>2.0099999999999998</v>
      </c>
      <c r="CA23" s="59">
        <v>23.97</v>
      </c>
      <c r="CB23" s="59">
        <v>1.99</v>
      </c>
      <c r="CC23" s="59">
        <v>2.0099999999999998</v>
      </c>
      <c r="CD23" s="59">
        <v>2.0099999999999998</v>
      </c>
      <c r="CE23" s="59">
        <v>2.0099999999999998</v>
      </c>
      <c r="CF23" s="59">
        <v>2.0099999999999998</v>
      </c>
      <c r="CG23" s="57">
        <v>2</v>
      </c>
      <c r="CH23" s="57">
        <v>2</v>
      </c>
      <c r="CI23" s="57">
        <v>2</v>
      </c>
      <c r="CJ23" s="59">
        <v>2.0099999999999998</v>
      </c>
      <c r="CK23" s="59">
        <v>2.0099999999999998</v>
      </c>
      <c r="CL23" s="57">
        <v>2</v>
      </c>
      <c r="CM23" s="57">
        <v>2</v>
      </c>
      <c r="CN23" s="59">
        <v>23.93</v>
      </c>
      <c r="CO23" s="59">
        <v>232.66</v>
      </c>
    </row>
    <row r="24" spans="1:93" ht="15.75" customHeight="1" x14ac:dyDescent="0.3">
      <c r="A24" s="56" t="s">
        <v>169</v>
      </c>
    </row>
    <row r="25" spans="1:93" ht="15.75" customHeight="1" x14ac:dyDescent="0.3">
      <c r="A25" s="56" t="s">
        <v>250</v>
      </c>
    </row>
    <row r="26" spans="1:93" ht="15.75" customHeight="1" x14ac:dyDescent="0.3">
      <c r="A26" s="56" t="s">
        <v>251</v>
      </c>
      <c r="B26" s="57">
        <v>0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57">
        <v>0</v>
      </c>
      <c r="Q26" s="57">
        <v>0</v>
      </c>
      <c r="R26" s="57">
        <v>0</v>
      </c>
      <c r="S26" s="57">
        <v>0</v>
      </c>
      <c r="T26" s="57">
        <v>0</v>
      </c>
      <c r="U26" s="57">
        <v>0</v>
      </c>
      <c r="V26" s="57">
        <v>0</v>
      </c>
      <c r="W26" s="57">
        <v>0</v>
      </c>
      <c r="X26" s="57">
        <v>0</v>
      </c>
      <c r="Y26" s="57">
        <v>0</v>
      </c>
      <c r="Z26" s="57">
        <v>0</v>
      </c>
      <c r="AA26" s="57">
        <v>0</v>
      </c>
      <c r="AB26" s="57">
        <v>0</v>
      </c>
      <c r="AC26" s="57">
        <v>0</v>
      </c>
      <c r="AD26" s="57">
        <v>0</v>
      </c>
      <c r="AE26" s="57">
        <v>0</v>
      </c>
      <c r="AF26" s="57">
        <v>0</v>
      </c>
      <c r="AG26" s="57">
        <v>0</v>
      </c>
      <c r="AH26" s="57">
        <v>0</v>
      </c>
      <c r="AI26" s="57">
        <v>0</v>
      </c>
      <c r="AJ26" s="57">
        <v>0</v>
      </c>
      <c r="AK26" s="57">
        <v>0</v>
      </c>
      <c r="AL26" s="57">
        <v>0</v>
      </c>
      <c r="AM26" s="57">
        <v>0</v>
      </c>
      <c r="AN26" s="57">
        <v>0</v>
      </c>
      <c r="AO26" s="57">
        <v>0</v>
      </c>
      <c r="AP26" s="57">
        <v>0</v>
      </c>
      <c r="AQ26" s="57">
        <v>0</v>
      </c>
      <c r="AR26" s="57">
        <v>0</v>
      </c>
      <c r="AS26" s="57">
        <v>0</v>
      </c>
      <c r="AT26" s="57">
        <v>0</v>
      </c>
      <c r="AU26" s="57">
        <v>0</v>
      </c>
      <c r="AV26" s="57">
        <v>0</v>
      </c>
      <c r="AW26" s="57">
        <v>0</v>
      </c>
      <c r="AX26" s="57">
        <v>0</v>
      </c>
      <c r="AY26" s="57">
        <v>0</v>
      </c>
      <c r="AZ26" s="57">
        <v>0</v>
      </c>
      <c r="BA26" s="57">
        <v>0</v>
      </c>
      <c r="BB26" s="57">
        <v>0</v>
      </c>
      <c r="BC26" s="57">
        <v>0</v>
      </c>
      <c r="BD26" s="57">
        <v>0</v>
      </c>
      <c r="BE26" s="57">
        <v>0</v>
      </c>
      <c r="BF26" s="57">
        <v>0</v>
      </c>
      <c r="BG26" s="57">
        <v>0</v>
      </c>
      <c r="BH26" s="57">
        <v>0</v>
      </c>
      <c r="BI26" s="57">
        <v>0</v>
      </c>
      <c r="BJ26" s="57">
        <v>0</v>
      </c>
      <c r="BK26" s="57">
        <v>0</v>
      </c>
      <c r="BL26" s="57">
        <v>0</v>
      </c>
      <c r="BM26" s="57">
        <v>0</v>
      </c>
      <c r="BN26" s="57">
        <v>0</v>
      </c>
      <c r="BO26" s="57">
        <v>0</v>
      </c>
      <c r="BP26" s="57">
        <v>0</v>
      </c>
      <c r="BQ26" s="57">
        <v>0</v>
      </c>
      <c r="BR26" s="57">
        <v>0</v>
      </c>
      <c r="BS26" s="57">
        <v>0</v>
      </c>
      <c r="BT26" s="57">
        <v>0</v>
      </c>
      <c r="BU26" s="57">
        <v>0</v>
      </c>
      <c r="BV26" s="57">
        <v>0</v>
      </c>
      <c r="BW26" s="57">
        <v>0</v>
      </c>
      <c r="BX26" s="57">
        <v>0</v>
      </c>
      <c r="BY26" s="57">
        <v>0</v>
      </c>
      <c r="BZ26" s="57">
        <v>0</v>
      </c>
      <c r="CA26" s="57">
        <v>0</v>
      </c>
      <c r="CB26" s="57">
        <v>0</v>
      </c>
      <c r="CC26" s="57">
        <v>0</v>
      </c>
      <c r="CD26" s="57">
        <v>0</v>
      </c>
      <c r="CE26" s="57">
        <v>0</v>
      </c>
      <c r="CF26" s="57">
        <v>0</v>
      </c>
      <c r="CG26" s="57">
        <v>0</v>
      </c>
      <c r="CH26" s="57">
        <v>0</v>
      </c>
      <c r="CI26" s="57">
        <v>0</v>
      </c>
      <c r="CJ26" s="57">
        <v>0</v>
      </c>
      <c r="CK26" s="57">
        <v>0</v>
      </c>
      <c r="CL26" s="57">
        <v>0</v>
      </c>
      <c r="CM26" s="57">
        <v>0</v>
      </c>
      <c r="CN26" s="57">
        <v>0</v>
      </c>
      <c r="CO26" s="57">
        <v>0</v>
      </c>
    </row>
    <row r="27" spans="1:93" ht="15.75" customHeight="1" x14ac:dyDescent="0.3">
      <c r="A27" s="56" t="s">
        <v>252</v>
      </c>
      <c r="B27" s="58">
        <v>-128.88999999999999</v>
      </c>
      <c r="C27" s="58">
        <v>-33.82</v>
      </c>
      <c r="D27" s="58">
        <v>-14.89</v>
      </c>
      <c r="E27" s="58">
        <v>-6.88</v>
      </c>
      <c r="F27" s="58">
        <v>-3.02</v>
      </c>
      <c r="G27" s="58">
        <v>-0.68</v>
      </c>
      <c r="H27" s="59">
        <v>0.55000000000000004</v>
      </c>
      <c r="I27" s="59">
        <v>1.76</v>
      </c>
      <c r="J27" s="59">
        <v>2.66</v>
      </c>
      <c r="K27" s="59">
        <v>3.34</v>
      </c>
      <c r="L27" s="59">
        <v>3.86</v>
      </c>
      <c r="M27" s="59">
        <v>4.2699999999999996</v>
      </c>
      <c r="N27" s="58">
        <v>-0.46</v>
      </c>
      <c r="O27" s="59">
        <v>1.83</v>
      </c>
      <c r="P27" s="59">
        <v>2.33</v>
      </c>
      <c r="Q27" s="59">
        <v>2.75</v>
      </c>
      <c r="R27" s="59">
        <v>3.1</v>
      </c>
      <c r="S27" s="59">
        <v>3.42</v>
      </c>
      <c r="T27" s="59">
        <v>3.68</v>
      </c>
      <c r="U27" s="59">
        <v>3.89</v>
      </c>
      <c r="V27" s="59">
        <v>4.09</v>
      </c>
      <c r="W27" s="59">
        <v>4.26</v>
      </c>
      <c r="X27" s="59">
        <v>4.4000000000000004</v>
      </c>
      <c r="Y27" s="59">
        <v>4.51</v>
      </c>
      <c r="Z27" s="59">
        <v>4.6399999999999997</v>
      </c>
      <c r="AA27" s="59">
        <v>3.73</v>
      </c>
      <c r="AB27" s="59">
        <v>3.83</v>
      </c>
      <c r="AC27" s="59">
        <v>3.95</v>
      </c>
      <c r="AD27" s="59">
        <v>3.52</v>
      </c>
      <c r="AE27" s="59">
        <v>3.63</v>
      </c>
      <c r="AF27" s="59">
        <v>3.71</v>
      </c>
      <c r="AG27" s="59">
        <v>3.78</v>
      </c>
      <c r="AH27" s="59">
        <v>3.88</v>
      </c>
      <c r="AI27" s="59">
        <v>3.96</v>
      </c>
      <c r="AJ27" s="59">
        <v>4.03</v>
      </c>
      <c r="AK27" s="59">
        <v>4.08</v>
      </c>
      <c r="AL27" s="59">
        <v>4.13</v>
      </c>
      <c r="AM27" s="59">
        <v>4.17</v>
      </c>
      <c r="AN27" s="59">
        <v>3.91</v>
      </c>
      <c r="AO27" s="59">
        <v>3.88</v>
      </c>
      <c r="AP27" s="59">
        <v>3.9</v>
      </c>
      <c r="AQ27" s="59">
        <v>3.7</v>
      </c>
      <c r="AR27" s="59">
        <v>3.69</v>
      </c>
      <c r="AS27" s="59">
        <v>3.67</v>
      </c>
      <c r="AT27" s="59">
        <v>3.64</v>
      </c>
      <c r="AU27" s="59">
        <v>3.61</v>
      </c>
      <c r="AV27" s="59">
        <v>3.58</v>
      </c>
      <c r="AW27" s="59">
        <v>3.53</v>
      </c>
      <c r="AX27" s="59">
        <v>3.49</v>
      </c>
      <c r="AY27" s="59">
        <v>3.28</v>
      </c>
      <c r="AZ27" s="59">
        <v>3.23</v>
      </c>
      <c r="BA27" s="59">
        <v>3.58</v>
      </c>
      <c r="BB27" s="59">
        <v>21.47</v>
      </c>
      <c r="BC27" s="57">
        <v>0</v>
      </c>
      <c r="BD27" s="57">
        <v>0</v>
      </c>
      <c r="BE27" s="57">
        <v>0</v>
      </c>
      <c r="BF27" s="57">
        <v>0</v>
      </c>
      <c r="BG27" s="57">
        <v>0</v>
      </c>
      <c r="BH27" s="57">
        <v>0</v>
      </c>
      <c r="BI27" s="57">
        <v>0</v>
      </c>
      <c r="BJ27" s="57">
        <v>0</v>
      </c>
      <c r="BK27" s="57">
        <v>0</v>
      </c>
      <c r="BL27" s="57">
        <v>0</v>
      </c>
      <c r="BM27" s="57">
        <v>0</v>
      </c>
      <c r="BN27" s="59">
        <v>247.49</v>
      </c>
      <c r="BO27" s="57">
        <v>0</v>
      </c>
      <c r="BP27" s="57">
        <v>0</v>
      </c>
      <c r="BQ27" s="57">
        <v>0</v>
      </c>
      <c r="BR27" s="57">
        <v>0</v>
      </c>
      <c r="BS27" s="57">
        <v>0</v>
      </c>
      <c r="BT27" s="57">
        <v>0</v>
      </c>
      <c r="BU27" s="57">
        <v>0</v>
      </c>
      <c r="BV27" s="57">
        <v>0</v>
      </c>
      <c r="BW27" s="57">
        <v>0</v>
      </c>
      <c r="BX27" s="57">
        <v>0</v>
      </c>
      <c r="BY27" s="57">
        <v>0</v>
      </c>
      <c r="BZ27" s="57">
        <v>0</v>
      </c>
      <c r="CA27" s="57">
        <v>0</v>
      </c>
      <c r="CB27" s="57">
        <v>0</v>
      </c>
      <c r="CC27" s="57">
        <v>0</v>
      </c>
      <c r="CD27" s="57">
        <v>0</v>
      </c>
      <c r="CE27" s="57">
        <v>0</v>
      </c>
      <c r="CF27" s="57">
        <v>0</v>
      </c>
      <c r="CG27" s="57">
        <v>0</v>
      </c>
      <c r="CH27" s="57">
        <v>0</v>
      </c>
      <c r="CI27" s="57">
        <v>0</v>
      </c>
      <c r="CJ27" s="57">
        <v>0</v>
      </c>
      <c r="CK27" s="57">
        <v>0</v>
      </c>
      <c r="CL27" s="57">
        <v>0</v>
      </c>
      <c r="CM27" s="57">
        <v>0</v>
      </c>
      <c r="CN27" s="57">
        <v>0</v>
      </c>
      <c r="CO27" s="59">
        <v>9.5399999999999991</v>
      </c>
    </row>
    <row r="28" spans="1:93" ht="15.75" customHeight="1" x14ac:dyDescent="0.3">
      <c r="A28" s="56" t="s">
        <v>253</v>
      </c>
      <c r="B28" s="58">
        <v>-0.09</v>
      </c>
      <c r="C28" s="59">
        <v>0.02</v>
      </c>
      <c r="D28" s="59">
        <v>0.13</v>
      </c>
      <c r="E28" s="59">
        <v>0.24</v>
      </c>
      <c r="F28" s="59">
        <v>0.34</v>
      </c>
      <c r="G28" s="59">
        <v>0.43</v>
      </c>
      <c r="H28" s="59">
        <v>0.52</v>
      </c>
      <c r="I28" s="59">
        <v>0.6</v>
      </c>
      <c r="J28" s="59">
        <v>0.69</v>
      </c>
      <c r="K28" s="59">
        <v>0.78</v>
      </c>
      <c r="L28" s="59">
        <v>0.86</v>
      </c>
      <c r="M28" s="59">
        <v>0.95</v>
      </c>
      <c r="N28" s="59">
        <v>0.95</v>
      </c>
      <c r="O28" s="59">
        <v>0.99</v>
      </c>
      <c r="P28" s="59">
        <v>1.01</v>
      </c>
      <c r="Q28" s="59">
        <v>1.04</v>
      </c>
      <c r="R28" s="59">
        <v>1.07</v>
      </c>
      <c r="S28" s="59">
        <v>1.1000000000000001</v>
      </c>
      <c r="T28" s="59">
        <v>1.1299999999999999</v>
      </c>
      <c r="U28" s="59">
        <v>1.1599999999999999</v>
      </c>
      <c r="V28" s="59">
        <v>1.19</v>
      </c>
      <c r="W28" s="59">
        <v>1.24</v>
      </c>
      <c r="X28" s="59">
        <v>1.3</v>
      </c>
      <c r="Y28" s="59">
        <v>1.36</v>
      </c>
      <c r="Z28" s="59">
        <v>1.43</v>
      </c>
      <c r="AA28" s="59">
        <v>1.43</v>
      </c>
      <c r="AB28" s="59">
        <v>1.49</v>
      </c>
      <c r="AC28" s="59">
        <v>1.57</v>
      </c>
      <c r="AD28" s="59">
        <v>1.64</v>
      </c>
      <c r="AE28" s="59">
        <v>1.72</v>
      </c>
      <c r="AF28" s="59">
        <v>1.82</v>
      </c>
      <c r="AG28" s="59">
        <v>1.93</v>
      </c>
      <c r="AH28" s="59">
        <v>2.0499999999999998</v>
      </c>
      <c r="AI28" s="59">
        <v>2.19</v>
      </c>
      <c r="AJ28" s="59">
        <v>2.35</v>
      </c>
      <c r="AK28" s="59">
        <v>2.5299999999999998</v>
      </c>
      <c r="AL28" s="59">
        <v>2.74</v>
      </c>
      <c r="AM28" s="59">
        <v>2.99</v>
      </c>
      <c r="AN28" s="59">
        <v>2.99</v>
      </c>
      <c r="AO28" s="59">
        <v>3.27</v>
      </c>
      <c r="AP28" s="59">
        <v>3.61</v>
      </c>
      <c r="AQ28" s="59">
        <v>4.01</v>
      </c>
      <c r="AR28" s="59">
        <v>4.5</v>
      </c>
      <c r="AS28" s="59">
        <v>5.14</v>
      </c>
      <c r="AT28" s="59">
        <v>5.98</v>
      </c>
      <c r="AU28" s="59">
        <v>7.14</v>
      </c>
      <c r="AV28" s="59">
        <v>8.8699999999999992</v>
      </c>
      <c r="AW28" s="59">
        <v>11.7</v>
      </c>
      <c r="AX28" s="59">
        <v>17.16</v>
      </c>
      <c r="AY28" s="59">
        <v>32.11</v>
      </c>
      <c r="AZ28" s="59">
        <v>257.66000000000003</v>
      </c>
      <c r="BA28" s="59">
        <v>257.66000000000003</v>
      </c>
      <c r="BB28" s="57">
        <v>0</v>
      </c>
      <c r="BC28" s="57">
        <v>0</v>
      </c>
      <c r="BD28" s="57">
        <v>0</v>
      </c>
      <c r="BE28" s="57">
        <v>0</v>
      </c>
      <c r="BF28" s="57">
        <v>0</v>
      </c>
      <c r="BG28" s="57">
        <v>0</v>
      </c>
      <c r="BH28" s="57">
        <v>0</v>
      </c>
      <c r="BI28" s="57">
        <v>0</v>
      </c>
      <c r="BJ28" s="57">
        <v>0</v>
      </c>
      <c r="BK28" s="57">
        <v>0</v>
      </c>
      <c r="BL28" s="57">
        <v>0</v>
      </c>
      <c r="BM28" s="57">
        <v>0</v>
      </c>
      <c r="BN28" s="57">
        <v>0</v>
      </c>
      <c r="BO28" s="57">
        <v>0</v>
      </c>
      <c r="BP28" s="57">
        <v>0</v>
      </c>
      <c r="BQ28" s="57">
        <v>0</v>
      </c>
      <c r="BR28" s="57">
        <v>0</v>
      </c>
      <c r="BS28" s="57">
        <v>0</v>
      </c>
      <c r="BT28" s="57">
        <v>0</v>
      </c>
      <c r="BU28" s="57">
        <v>0</v>
      </c>
      <c r="BV28" s="57">
        <v>0</v>
      </c>
      <c r="BW28" s="57">
        <v>0</v>
      </c>
      <c r="BX28" s="57">
        <v>0</v>
      </c>
      <c r="BY28" s="57">
        <v>0</v>
      </c>
      <c r="BZ28" s="57">
        <v>0</v>
      </c>
      <c r="CA28" s="57">
        <v>0</v>
      </c>
      <c r="CB28" s="57">
        <v>0</v>
      </c>
      <c r="CC28" s="57">
        <v>0</v>
      </c>
      <c r="CD28" s="57">
        <v>0</v>
      </c>
      <c r="CE28" s="57">
        <v>0</v>
      </c>
      <c r="CF28" s="57">
        <v>0</v>
      </c>
      <c r="CG28" s="57">
        <v>0</v>
      </c>
      <c r="CH28" s="57">
        <v>0</v>
      </c>
      <c r="CI28" s="57">
        <v>0</v>
      </c>
      <c r="CJ28" s="57">
        <v>0</v>
      </c>
      <c r="CK28" s="57">
        <v>0</v>
      </c>
      <c r="CL28" s="57">
        <v>0</v>
      </c>
      <c r="CM28" s="57">
        <v>0</v>
      </c>
      <c r="CN28" s="57">
        <v>0</v>
      </c>
      <c r="CO28" s="57">
        <v>0</v>
      </c>
    </row>
    <row r="29" spans="1:93" ht="15.75" customHeight="1" x14ac:dyDescent="0.3">
      <c r="A29" s="56" t="s">
        <v>169</v>
      </c>
    </row>
    <row r="30" spans="1:93" ht="15.75" customHeight="1" x14ac:dyDescent="0.3">
      <c r="A30" s="56" t="s">
        <v>254</v>
      </c>
    </row>
    <row r="31" spans="1:93" ht="15.75" customHeight="1" x14ac:dyDescent="0.3">
      <c r="A31" s="56" t="s">
        <v>255</v>
      </c>
      <c r="B31" s="59">
        <v>4.6900000000000004</v>
      </c>
      <c r="C31" s="59">
        <v>4.7</v>
      </c>
      <c r="D31" s="59">
        <v>3.67</v>
      </c>
      <c r="E31" s="59">
        <v>2.86</v>
      </c>
      <c r="F31" s="59">
        <v>2.3199999999999998</v>
      </c>
      <c r="G31" s="59">
        <v>1.96</v>
      </c>
      <c r="H31" s="59">
        <v>1.72</v>
      </c>
      <c r="I31" s="59">
        <v>1.53</v>
      </c>
      <c r="J31" s="59">
        <v>1.37</v>
      </c>
      <c r="K31" s="59">
        <v>1.24</v>
      </c>
      <c r="L31" s="59">
        <v>1.1399999999999999</v>
      </c>
      <c r="M31" s="59">
        <v>1.05</v>
      </c>
      <c r="N31" s="59">
        <v>1.05</v>
      </c>
      <c r="O31" s="59">
        <v>1.01</v>
      </c>
      <c r="P31" s="59">
        <v>0.99</v>
      </c>
      <c r="Q31" s="59">
        <v>0.97</v>
      </c>
      <c r="R31" s="59">
        <v>0.94</v>
      </c>
      <c r="S31" s="59">
        <v>0.92</v>
      </c>
      <c r="T31" s="59">
        <v>0.9</v>
      </c>
      <c r="U31" s="59">
        <v>0.88</v>
      </c>
      <c r="V31" s="59">
        <v>0.86</v>
      </c>
      <c r="W31" s="59">
        <v>0.83</v>
      </c>
      <c r="X31" s="59">
        <v>0.8</v>
      </c>
      <c r="Y31" s="59">
        <v>0.76</v>
      </c>
      <c r="Z31" s="59">
        <v>0.73</v>
      </c>
      <c r="AA31" s="59">
        <v>0.73</v>
      </c>
      <c r="AB31" s="59">
        <v>0.71</v>
      </c>
      <c r="AC31" s="59">
        <v>0.68</v>
      </c>
      <c r="AD31" s="59">
        <v>0.65</v>
      </c>
      <c r="AE31" s="59">
        <v>0.63</v>
      </c>
      <c r="AF31" s="59">
        <v>0.6</v>
      </c>
      <c r="AG31" s="59">
        <v>0.56999999999999995</v>
      </c>
      <c r="AH31" s="59">
        <v>0.55000000000000004</v>
      </c>
      <c r="AI31" s="59">
        <v>0.52</v>
      </c>
      <c r="AJ31" s="59">
        <v>0.49</v>
      </c>
      <c r="AK31" s="59">
        <v>0.46</v>
      </c>
      <c r="AL31" s="59">
        <v>0.44</v>
      </c>
      <c r="AM31" s="59">
        <v>0.41</v>
      </c>
      <c r="AN31" s="59">
        <v>0.41</v>
      </c>
      <c r="AO31" s="59">
        <v>0.38</v>
      </c>
      <c r="AP31" s="59">
        <v>0.36</v>
      </c>
      <c r="AQ31" s="59">
        <v>0.33</v>
      </c>
      <c r="AR31" s="59">
        <v>0.31</v>
      </c>
      <c r="AS31" s="59">
        <v>0.28000000000000003</v>
      </c>
      <c r="AT31" s="59">
        <v>0.26</v>
      </c>
      <c r="AU31" s="59">
        <v>0.23</v>
      </c>
      <c r="AV31" s="59">
        <v>0.21</v>
      </c>
      <c r="AW31" s="59">
        <v>0.18</v>
      </c>
      <c r="AX31" s="59">
        <v>0.16</v>
      </c>
      <c r="AY31" s="59">
        <v>0.13</v>
      </c>
      <c r="AZ31" s="59">
        <v>0.11</v>
      </c>
      <c r="BA31" s="59">
        <v>0.11</v>
      </c>
      <c r="BB31" s="59">
        <v>0.1</v>
      </c>
      <c r="BC31" s="59">
        <v>0.11</v>
      </c>
      <c r="BD31" s="59">
        <v>0.1</v>
      </c>
      <c r="BE31" s="59">
        <v>0.1</v>
      </c>
      <c r="BF31" s="59">
        <v>0.1</v>
      </c>
      <c r="BG31" s="59">
        <v>0.1</v>
      </c>
      <c r="BH31" s="59">
        <v>0.1</v>
      </c>
      <c r="BI31" s="59">
        <v>0.09</v>
      </c>
      <c r="BJ31" s="59">
        <v>0.09</v>
      </c>
      <c r="BK31" s="59">
        <v>0.09</v>
      </c>
      <c r="BL31" s="59">
        <v>0.09</v>
      </c>
      <c r="BM31" s="59">
        <v>0.08</v>
      </c>
      <c r="BN31" s="59">
        <v>0.08</v>
      </c>
      <c r="BO31" s="59">
        <v>0.08</v>
      </c>
      <c r="BP31" s="59">
        <v>0.08</v>
      </c>
      <c r="BQ31" s="59">
        <v>0.08</v>
      </c>
      <c r="BR31" s="59">
        <v>7.0000000000000007E-2</v>
      </c>
      <c r="BS31" s="59">
        <v>7.0000000000000007E-2</v>
      </c>
      <c r="BT31" s="59">
        <v>7.0000000000000007E-2</v>
      </c>
      <c r="BU31" s="59">
        <v>7.0000000000000007E-2</v>
      </c>
      <c r="BV31" s="59">
        <v>7.0000000000000007E-2</v>
      </c>
      <c r="BW31" s="59">
        <v>7.0000000000000007E-2</v>
      </c>
      <c r="BX31" s="59">
        <v>7.0000000000000007E-2</v>
      </c>
      <c r="BY31" s="59">
        <v>0.06</v>
      </c>
      <c r="BZ31" s="59">
        <v>0.06</v>
      </c>
      <c r="CA31" s="59">
        <v>0.06</v>
      </c>
      <c r="CB31" s="59">
        <v>0.06</v>
      </c>
      <c r="CC31" s="59">
        <v>0.06</v>
      </c>
      <c r="CD31" s="59">
        <v>0.06</v>
      </c>
      <c r="CE31" s="59">
        <v>0.06</v>
      </c>
      <c r="CF31" s="59">
        <v>0.06</v>
      </c>
      <c r="CG31" s="59">
        <v>0.06</v>
      </c>
      <c r="CH31" s="59">
        <v>0.06</v>
      </c>
      <c r="CI31" s="59">
        <v>0.05</v>
      </c>
      <c r="CJ31" s="59">
        <v>0.05</v>
      </c>
      <c r="CK31" s="59">
        <v>0.05</v>
      </c>
      <c r="CL31" s="59">
        <v>0.05</v>
      </c>
      <c r="CM31" s="59">
        <v>0.05</v>
      </c>
      <c r="CN31" s="59">
        <v>0.05</v>
      </c>
      <c r="CO31" s="59">
        <v>0.05</v>
      </c>
    </row>
    <row r="32" spans="1:93" ht="15.75" customHeight="1" x14ac:dyDescent="0.3">
      <c r="A32" s="56" t="s">
        <v>256</v>
      </c>
      <c r="B32" s="58">
        <v>-1.27</v>
      </c>
      <c r="C32" s="58">
        <v>-1.27</v>
      </c>
      <c r="D32" s="58">
        <v>-1.37</v>
      </c>
      <c r="E32" s="58">
        <v>-1.54</v>
      </c>
      <c r="F32" s="58">
        <v>-1.76</v>
      </c>
      <c r="G32" s="58">
        <v>-2.04</v>
      </c>
      <c r="H32" s="58">
        <v>-2.39</v>
      </c>
      <c r="I32" s="58">
        <v>-2.9</v>
      </c>
      <c r="J32" s="58">
        <v>-3.7</v>
      </c>
      <c r="K32" s="58">
        <v>-5.1100000000000003</v>
      </c>
      <c r="L32" s="58">
        <v>-8.31</v>
      </c>
      <c r="M32" s="58">
        <v>-22.45</v>
      </c>
      <c r="N32" s="58">
        <v>-22.45</v>
      </c>
      <c r="O32" s="58">
        <v>-161.19</v>
      </c>
      <c r="P32" s="59">
        <v>77.2</v>
      </c>
      <c r="Q32" s="59">
        <v>28.87</v>
      </c>
      <c r="R32" s="59">
        <v>17.12</v>
      </c>
      <c r="S32" s="59">
        <v>11.91</v>
      </c>
      <c r="T32" s="57">
        <v>9</v>
      </c>
      <c r="U32" s="59">
        <v>7.17</v>
      </c>
      <c r="V32" s="59">
        <v>5.91</v>
      </c>
      <c r="W32" s="59">
        <v>4.75</v>
      </c>
      <c r="X32" s="59">
        <v>3.9</v>
      </c>
      <c r="Y32" s="59">
        <v>3.25</v>
      </c>
      <c r="Z32" s="59">
        <v>2.75</v>
      </c>
      <c r="AA32" s="59">
        <v>2.75</v>
      </c>
      <c r="AB32" s="59">
        <v>2.4</v>
      </c>
      <c r="AC32" s="59">
        <v>2.11</v>
      </c>
      <c r="AD32" s="59">
        <v>1.88</v>
      </c>
      <c r="AE32" s="59">
        <v>1.68</v>
      </c>
      <c r="AF32" s="59">
        <v>1.5</v>
      </c>
      <c r="AG32" s="59">
        <v>1.34</v>
      </c>
      <c r="AH32" s="59">
        <v>1.2</v>
      </c>
      <c r="AI32" s="59">
        <v>1.08</v>
      </c>
      <c r="AJ32" s="59">
        <v>0.96</v>
      </c>
      <c r="AK32" s="59">
        <v>0.86</v>
      </c>
      <c r="AL32" s="59">
        <v>0.77</v>
      </c>
      <c r="AM32" s="59">
        <v>0.69</v>
      </c>
      <c r="AN32" s="59">
        <v>0.69</v>
      </c>
      <c r="AO32" s="59">
        <v>0.62</v>
      </c>
      <c r="AP32" s="59">
        <v>0.55000000000000004</v>
      </c>
      <c r="AQ32" s="59">
        <v>0.5</v>
      </c>
      <c r="AR32" s="59">
        <v>0.44</v>
      </c>
      <c r="AS32" s="59">
        <v>0.39</v>
      </c>
      <c r="AT32" s="59">
        <v>0.35</v>
      </c>
      <c r="AU32" s="59">
        <v>0.3</v>
      </c>
      <c r="AV32" s="59">
        <v>0.26</v>
      </c>
      <c r="AW32" s="59">
        <v>0.22</v>
      </c>
      <c r="AX32" s="59">
        <v>0.19</v>
      </c>
      <c r="AY32" s="59">
        <v>0.15</v>
      </c>
      <c r="AZ32" s="59">
        <v>0.12</v>
      </c>
      <c r="BA32" s="59">
        <v>0.12</v>
      </c>
      <c r="BB32" s="59">
        <v>0.11</v>
      </c>
      <c r="BC32" s="59">
        <v>0.12</v>
      </c>
      <c r="BD32" s="59">
        <v>0.12</v>
      </c>
      <c r="BE32" s="59">
        <v>0.11</v>
      </c>
      <c r="BF32" s="59">
        <v>0.11</v>
      </c>
      <c r="BG32" s="59">
        <v>0.11</v>
      </c>
      <c r="BH32" s="59">
        <v>0.11</v>
      </c>
      <c r="BI32" s="59">
        <v>0.1</v>
      </c>
      <c r="BJ32" s="59">
        <v>0.1</v>
      </c>
      <c r="BK32" s="59">
        <v>0.1</v>
      </c>
      <c r="BL32" s="59">
        <v>0.1</v>
      </c>
      <c r="BM32" s="59">
        <v>0.09</v>
      </c>
      <c r="BN32" s="59">
        <v>0.09</v>
      </c>
      <c r="BO32" s="59">
        <v>0.09</v>
      </c>
      <c r="BP32" s="59">
        <v>0.08</v>
      </c>
      <c r="BQ32" s="59">
        <v>0.08</v>
      </c>
      <c r="BR32" s="59">
        <v>0.08</v>
      </c>
      <c r="BS32" s="59">
        <v>0.08</v>
      </c>
      <c r="BT32" s="59">
        <v>0.08</v>
      </c>
      <c r="BU32" s="59">
        <v>7.0000000000000007E-2</v>
      </c>
      <c r="BV32" s="59">
        <v>7.0000000000000007E-2</v>
      </c>
      <c r="BW32" s="59">
        <v>7.0000000000000007E-2</v>
      </c>
      <c r="BX32" s="59">
        <v>7.0000000000000007E-2</v>
      </c>
      <c r="BY32" s="59">
        <v>7.0000000000000007E-2</v>
      </c>
      <c r="BZ32" s="59">
        <v>7.0000000000000007E-2</v>
      </c>
      <c r="CA32" s="59">
        <v>7.0000000000000007E-2</v>
      </c>
      <c r="CB32" s="59">
        <v>7.0000000000000007E-2</v>
      </c>
      <c r="CC32" s="59">
        <v>0.06</v>
      </c>
      <c r="CD32" s="59">
        <v>0.06</v>
      </c>
      <c r="CE32" s="59">
        <v>0.06</v>
      </c>
      <c r="CF32" s="59">
        <v>0.06</v>
      </c>
      <c r="CG32" s="59">
        <v>0.06</v>
      </c>
      <c r="CH32" s="59">
        <v>0.06</v>
      </c>
      <c r="CI32" s="59">
        <v>0.06</v>
      </c>
      <c r="CJ32" s="59">
        <v>0.06</v>
      </c>
      <c r="CK32" s="59">
        <v>0.06</v>
      </c>
      <c r="CL32" s="59">
        <v>0.05</v>
      </c>
      <c r="CM32" s="59">
        <v>0.05</v>
      </c>
      <c r="CN32" s="59">
        <v>0.05</v>
      </c>
      <c r="CO32" s="59">
        <v>0.05</v>
      </c>
    </row>
    <row r="33" spans="1:93" ht="15.75" customHeight="1" x14ac:dyDescent="0.3">
      <c r="A33" s="56" t="s">
        <v>257</v>
      </c>
      <c r="B33" s="59">
        <v>4.6900000000000004</v>
      </c>
      <c r="C33" s="59">
        <v>4.7</v>
      </c>
      <c r="D33" s="59">
        <v>3.67</v>
      </c>
      <c r="E33" s="59">
        <v>2.86</v>
      </c>
      <c r="F33" s="59">
        <v>2.3199999999999998</v>
      </c>
      <c r="G33" s="59">
        <v>1.96</v>
      </c>
      <c r="H33" s="59">
        <v>1.72</v>
      </c>
      <c r="I33" s="59">
        <v>1.53</v>
      </c>
      <c r="J33" s="59">
        <v>1.37</v>
      </c>
      <c r="K33" s="59">
        <v>1.24</v>
      </c>
      <c r="L33" s="59">
        <v>1.1399999999999999</v>
      </c>
      <c r="M33" s="59">
        <v>1.05</v>
      </c>
      <c r="N33" s="59">
        <v>1.05</v>
      </c>
      <c r="O33" s="59">
        <v>1.01</v>
      </c>
      <c r="P33" s="59">
        <v>0.99</v>
      </c>
      <c r="Q33" s="59">
        <v>0.97</v>
      </c>
      <c r="R33" s="59">
        <v>0.94</v>
      </c>
      <c r="S33" s="59">
        <v>0.92</v>
      </c>
      <c r="T33" s="59">
        <v>0.9</v>
      </c>
      <c r="U33" s="59">
        <v>0.88</v>
      </c>
      <c r="V33" s="59">
        <v>0.86</v>
      </c>
      <c r="W33" s="59">
        <v>0.83</v>
      </c>
      <c r="X33" s="59">
        <v>0.8</v>
      </c>
      <c r="Y33" s="59">
        <v>0.76</v>
      </c>
      <c r="Z33" s="59">
        <v>0.73</v>
      </c>
      <c r="AA33" s="59">
        <v>0.73</v>
      </c>
      <c r="AB33" s="59">
        <v>0.71</v>
      </c>
      <c r="AC33" s="59">
        <v>0.68</v>
      </c>
      <c r="AD33" s="59">
        <v>0.65</v>
      </c>
      <c r="AE33" s="59">
        <v>0.63</v>
      </c>
      <c r="AF33" s="59">
        <v>0.6</v>
      </c>
      <c r="AG33" s="59">
        <v>0.56999999999999995</v>
      </c>
      <c r="AH33" s="59">
        <v>0.55000000000000004</v>
      </c>
      <c r="AI33" s="59">
        <v>0.52</v>
      </c>
      <c r="AJ33" s="59">
        <v>0.49</v>
      </c>
      <c r="AK33" s="59">
        <v>0.46</v>
      </c>
      <c r="AL33" s="59">
        <v>0.44</v>
      </c>
      <c r="AM33" s="59">
        <v>0.41</v>
      </c>
      <c r="AN33" s="59">
        <v>0.41</v>
      </c>
      <c r="AO33" s="59">
        <v>0.38</v>
      </c>
      <c r="AP33" s="59">
        <v>0.36</v>
      </c>
      <c r="AQ33" s="59">
        <v>0.33</v>
      </c>
      <c r="AR33" s="59">
        <v>0.31</v>
      </c>
      <c r="AS33" s="59">
        <v>0.28000000000000003</v>
      </c>
      <c r="AT33" s="59">
        <v>0.26</v>
      </c>
      <c r="AU33" s="59">
        <v>0.23</v>
      </c>
      <c r="AV33" s="59">
        <v>0.21</v>
      </c>
      <c r="AW33" s="59">
        <v>0.18</v>
      </c>
      <c r="AX33" s="59">
        <v>0.16</v>
      </c>
      <c r="AY33" s="59">
        <v>0.13</v>
      </c>
      <c r="AZ33" s="59">
        <v>0.11</v>
      </c>
      <c r="BA33" s="59">
        <v>0.11</v>
      </c>
      <c r="BB33" s="59">
        <v>0.1</v>
      </c>
      <c r="BC33" s="59">
        <v>0.11</v>
      </c>
      <c r="BD33" s="59">
        <v>0.1</v>
      </c>
      <c r="BE33" s="59">
        <v>0.1</v>
      </c>
      <c r="BF33" s="59">
        <v>0.1</v>
      </c>
      <c r="BG33" s="59">
        <v>0.1</v>
      </c>
      <c r="BH33" s="59">
        <v>0.1</v>
      </c>
      <c r="BI33" s="59">
        <v>0.09</v>
      </c>
      <c r="BJ33" s="59">
        <v>0.09</v>
      </c>
      <c r="BK33" s="59">
        <v>0.09</v>
      </c>
      <c r="BL33" s="59">
        <v>0.09</v>
      </c>
      <c r="BM33" s="59">
        <v>0.08</v>
      </c>
      <c r="BN33" s="59">
        <v>0.08</v>
      </c>
      <c r="BO33" s="59">
        <v>0.08</v>
      </c>
      <c r="BP33" s="59">
        <v>0.08</v>
      </c>
      <c r="BQ33" s="59">
        <v>0.08</v>
      </c>
      <c r="BR33" s="59">
        <v>7.0000000000000007E-2</v>
      </c>
      <c r="BS33" s="59">
        <v>7.0000000000000007E-2</v>
      </c>
      <c r="BT33" s="59">
        <v>7.0000000000000007E-2</v>
      </c>
      <c r="BU33" s="59">
        <v>7.0000000000000007E-2</v>
      </c>
      <c r="BV33" s="59">
        <v>7.0000000000000007E-2</v>
      </c>
      <c r="BW33" s="59">
        <v>7.0000000000000007E-2</v>
      </c>
      <c r="BX33" s="59">
        <v>7.0000000000000007E-2</v>
      </c>
      <c r="BY33" s="59">
        <v>0.06</v>
      </c>
      <c r="BZ33" s="59">
        <v>0.06</v>
      </c>
      <c r="CA33" s="59">
        <v>0.06</v>
      </c>
      <c r="CB33" s="59">
        <v>0.06</v>
      </c>
      <c r="CC33" s="59">
        <v>0.06</v>
      </c>
      <c r="CD33" s="59">
        <v>0.06</v>
      </c>
      <c r="CE33" s="59">
        <v>0.06</v>
      </c>
      <c r="CF33" s="59">
        <v>0.06</v>
      </c>
      <c r="CG33" s="59">
        <v>0.06</v>
      </c>
      <c r="CH33" s="59">
        <v>0.06</v>
      </c>
      <c r="CI33" s="59">
        <v>0.05</v>
      </c>
      <c r="CJ33" s="59">
        <v>0.05</v>
      </c>
      <c r="CK33" s="59">
        <v>0.05</v>
      </c>
      <c r="CL33" s="59">
        <v>0.05</v>
      </c>
      <c r="CM33" s="59">
        <v>0.05</v>
      </c>
      <c r="CN33" s="59">
        <v>0.05</v>
      </c>
      <c r="CO33" s="59">
        <v>0.05</v>
      </c>
    </row>
    <row r="34" spans="1:93" ht="15.75" customHeight="1" x14ac:dyDescent="0.3">
      <c r="A34" s="56" t="s">
        <v>258</v>
      </c>
      <c r="B34" s="58">
        <v>-1.27</v>
      </c>
      <c r="C34" s="58">
        <v>-2.88</v>
      </c>
      <c r="D34" s="58">
        <v>-5.62</v>
      </c>
      <c r="E34" s="58">
        <v>-11.26</v>
      </c>
      <c r="F34" s="58">
        <v>-24.42</v>
      </c>
      <c r="G34" s="58">
        <v>-105.84</v>
      </c>
      <c r="H34" s="59">
        <v>126.04</v>
      </c>
      <c r="I34" s="59">
        <v>39.1</v>
      </c>
      <c r="J34" s="59">
        <v>25.42</v>
      </c>
      <c r="K34" s="59">
        <v>19.86</v>
      </c>
      <c r="L34" s="59">
        <v>16.84</v>
      </c>
      <c r="M34" s="59">
        <v>14.94</v>
      </c>
      <c r="N34" s="58">
        <v>-22.45</v>
      </c>
      <c r="O34" s="59">
        <v>34.29</v>
      </c>
      <c r="P34" s="59">
        <v>26.62</v>
      </c>
      <c r="Q34" s="59">
        <v>22.29</v>
      </c>
      <c r="R34" s="59">
        <v>19.510000000000002</v>
      </c>
      <c r="S34" s="59">
        <v>17.579999999999998</v>
      </c>
      <c r="T34" s="59">
        <v>16.149999999999999</v>
      </c>
      <c r="U34" s="59">
        <v>15.06</v>
      </c>
      <c r="V34" s="59">
        <v>14.19</v>
      </c>
      <c r="W34" s="59">
        <v>12.8</v>
      </c>
      <c r="X34" s="59">
        <v>11.64</v>
      </c>
      <c r="Y34" s="59">
        <v>10.64</v>
      </c>
      <c r="Z34" s="59">
        <v>9.7799999999999994</v>
      </c>
      <c r="AA34" s="59">
        <v>1.32</v>
      </c>
      <c r="AB34" s="59">
        <v>11.16</v>
      </c>
      <c r="AC34" s="59">
        <v>10.19</v>
      </c>
      <c r="AD34" s="59">
        <v>10.76</v>
      </c>
      <c r="AE34" s="59">
        <v>9.82</v>
      </c>
      <c r="AF34" s="59">
        <v>8.99</v>
      </c>
      <c r="AG34" s="59">
        <v>8.26</v>
      </c>
      <c r="AH34" s="59">
        <v>7.6</v>
      </c>
      <c r="AI34" s="59">
        <v>7.01</v>
      </c>
      <c r="AJ34" s="59">
        <v>6.47</v>
      </c>
      <c r="AK34" s="59">
        <v>5.98</v>
      </c>
      <c r="AL34" s="59">
        <v>5.52</v>
      </c>
      <c r="AM34" s="59">
        <v>5.0999999999999996</v>
      </c>
      <c r="AN34" s="59">
        <v>0.54</v>
      </c>
      <c r="AO34" s="59">
        <v>5.0599999999999996</v>
      </c>
      <c r="AP34" s="59">
        <v>4.66</v>
      </c>
      <c r="AQ34" s="59">
        <v>4.53</v>
      </c>
      <c r="AR34" s="59">
        <v>4.12</v>
      </c>
      <c r="AS34" s="59">
        <v>3.73</v>
      </c>
      <c r="AT34" s="59">
        <v>3.35</v>
      </c>
      <c r="AU34" s="57">
        <v>3</v>
      </c>
      <c r="AV34" s="59">
        <v>2.65</v>
      </c>
      <c r="AW34" s="59">
        <v>2.31</v>
      </c>
      <c r="AX34" s="59">
        <v>1.98</v>
      </c>
      <c r="AY34" s="59">
        <v>1.74</v>
      </c>
      <c r="AZ34" s="59">
        <v>1.4</v>
      </c>
      <c r="BA34" s="59">
        <v>0.13</v>
      </c>
      <c r="BB34" s="59">
        <v>1.41</v>
      </c>
      <c r="BC34" s="59">
        <v>1.81</v>
      </c>
      <c r="BD34" s="59">
        <v>1.78</v>
      </c>
      <c r="BE34" s="59">
        <v>1.75</v>
      </c>
      <c r="BF34" s="59">
        <v>1.73</v>
      </c>
      <c r="BG34" s="59">
        <v>1.7</v>
      </c>
      <c r="BH34" s="59">
        <v>1.68</v>
      </c>
      <c r="BI34" s="59">
        <v>1.66</v>
      </c>
      <c r="BJ34" s="59">
        <v>1.64</v>
      </c>
      <c r="BK34" s="59">
        <v>1.62</v>
      </c>
      <c r="BL34" s="59">
        <v>1.69</v>
      </c>
      <c r="BM34" s="59">
        <v>1.31</v>
      </c>
      <c r="BN34" s="59">
        <v>0.14000000000000001</v>
      </c>
      <c r="BO34" s="59">
        <v>1.36</v>
      </c>
      <c r="BP34" s="59">
        <v>1.35</v>
      </c>
      <c r="BQ34" s="59">
        <v>1.34</v>
      </c>
      <c r="BR34" s="59">
        <v>1.33</v>
      </c>
      <c r="BS34" s="59">
        <v>1.32</v>
      </c>
      <c r="BT34" s="59">
        <v>1.31</v>
      </c>
      <c r="BU34" s="59">
        <v>1.3</v>
      </c>
      <c r="BV34" s="59">
        <v>1.29</v>
      </c>
      <c r="BW34" s="59">
        <v>1.28</v>
      </c>
      <c r="BX34" s="59">
        <v>1.27</v>
      </c>
      <c r="BY34" s="59">
        <v>1.26</v>
      </c>
      <c r="BZ34" s="59">
        <v>1.25</v>
      </c>
      <c r="CA34" s="59">
        <v>0.11</v>
      </c>
      <c r="CB34" s="59">
        <v>1.34</v>
      </c>
      <c r="CC34" s="59">
        <v>1.33</v>
      </c>
      <c r="CD34" s="59">
        <v>1.32</v>
      </c>
      <c r="CE34" s="59">
        <v>1.31</v>
      </c>
      <c r="CF34" s="59">
        <v>1.3</v>
      </c>
      <c r="CG34" s="59">
        <v>1.29</v>
      </c>
      <c r="CH34" s="59">
        <v>1.29</v>
      </c>
      <c r="CI34" s="59">
        <v>1.28</v>
      </c>
      <c r="CJ34" s="59">
        <v>1.32</v>
      </c>
      <c r="CK34" s="59">
        <v>1.35</v>
      </c>
      <c r="CL34" s="59">
        <v>1.34</v>
      </c>
      <c r="CM34" s="59">
        <v>1.33</v>
      </c>
      <c r="CN34" s="59">
        <v>0.11</v>
      </c>
      <c r="CO34" s="59">
        <v>0.03</v>
      </c>
    </row>
    <row r="35" spans="1:93" ht="15.75" customHeight="1" x14ac:dyDescent="0.3">
      <c r="A35" s="56" t="s">
        <v>259</v>
      </c>
      <c r="B35" s="58">
        <v>-0.27</v>
      </c>
      <c r="C35" s="58">
        <v>-0.27</v>
      </c>
      <c r="D35" s="58">
        <v>-0.37</v>
      </c>
      <c r="E35" s="58">
        <v>-0.54</v>
      </c>
      <c r="F35" s="58">
        <v>-0.76</v>
      </c>
      <c r="G35" s="58">
        <v>-1.04</v>
      </c>
      <c r="H35" s="58">
        <v>-1.39</v>
      </c>
      <c r="I35" s="58">
        <v>-1.9</v>
      </c>
      <c r="J35" s="58">
        <v>-2.7</v>
      </c>
      <c r="K35" s="58">
        <v>-4.1100000000000003</v>
      </c>
      <c r="L35" s="58">
        <v>-7.31</v>
      </c>
      <c r="M35" s="58">
        <v>-21.45</v>
      </c>
      <c r="N35" s="58">
        <v>-21.45</v>
      </c>
      <c r="O35" s="58">
        <v>-160.19</v>
      </c>
      <c r="P35" s="59">
        <v>78.2</v>
      </c>
      <c r="Q35" s="59">
        <v>29.87</v>
      </c>
      <c r="R35" s="59">
        <v>18.12</v>
      </c>
      <c r="S35" s="59">
        <v>12.91</v>
      </c>
      <c r="T35" s="57">
        <v>10</v>
      </c>
      <c r="U35" s="59">
        <v>8.17</v>
      </c>
      <c r="V35" s="59">
        <v>6.91</v>
      </c>
      <c r="W35" s="59">
        <v>5.75</v>
      </c>
      <c r="X35" s="59">
        <v>4.9000000000000004</v>
      </c>
      <c r="Y35" s="59">
        <v>4.25</v>
      </c>
      <c r="Z35" s="59">
        <v>3.75</v>
      </c>
      <c r="AA35" s="59">
        <v>3.75</v>
      </c>
      <c r="AB35" s="59">
        <v>3.4</v>
      </c>
      <c r="AC35" s="59">
        <v>3.11</v>
      </c>
      <c r="AD35" s="59">
        <v>2.88</v>
      </c>
      <c r="AE35" s="59">
        <v>2.68</v>
      </c>
      <c r="AF35" s="59">
        <v>2.5</v>
      </c>
      <c r="AG35" s="59">
        <v>2.34</v>
      </c>
      <c r="AH35" s="59">
        <v>2.2000000000000002</v>
      </c>
      <c r="AI35" s="59">
        <v>2.08</v>
      </c>
      <c r="AJ35" s="59">
        <v>1.96</v>
      </c>
      <c r="AK35" s="59">
        <v>1.86</v>
      </c>
      <c r="AL35" s="59">
        <v>1.77</v>
      </c>
      <c r="AM35" s="59">
        <v>1.69</v>
      </c>
      <c r="AN35" s="59">
        <v>1.69</v>
      </c>
      <c r="AO35" s="59">
        <v>1.62</v>
      </c>
      <c r="AP35" s="59">
        <v>1.55</v>
      </c>
      <c r="AQ35" s="59">
        <v>1.5</v>
      </c>
      <c r="AR35" s="59">
        <v>1.44</v>
      </c>
      <c r="AS35" s="59">
        <v>1.39</v>
      </c>
      <c r="AT35" s="59">
        <v>1.35</v>
      </c>
      <c r="AU35" s="59">
        <v>1.3</v>
      </c>
      <c r="AV35" s="59">
        <v>1.26</v>
      </c>
      <c r="AW35" s="59">
        <v>1.22</v>
      </c>
      <c r="AX35" s="59">
        <v>1.19</v>
      </c>
      <c r="AY35" s="59">
        <v>1.1499999999999999</v>
      </c>
      <c r="AZ35" s="59">
        <v>1.1200000000000001</v>
      </c>
      <c r="BA35" s="59">
        <v>1.1200000000000001</v>
      </c>
      <c r="BB35" s="59">
        <v>1.1100000000000001</v>
      </c>
      <c r="BC35" s="59">
        <v>1.1200000000000001</v>
      </c>
      <c r="BD35" s="59">
        <v>1.1200000000000001</v>
      </c>
      <c r="BE35" s="59">
        <v>1.1100000000000001</v>
      </c>
      <c r="BF35" s="59">
        <v>1.1100000000000001</v>
      </c>
      <c r="BG35" s="59">
        <v>1.1100000000000001</v>
      </c>
      <c r="BH35" s="59">
        <v>1.1100000000000001</v>
      </c>
      <c r="BI35" s="59">
        <v>1.1000000000000001</v>
      </c>
      <c r="BJ35" s="59">
        <v>1.1000000000000001</v>
      </c>
      <c r="BK35" s="59">
        <v>1.1000000000000001</v>
      </c>
      <c r="BL35" s="59">
        <v>1.1000000000000001</v>
      </c>
      <c r="BM35" s="59">
        <v>1.0900000000000001</v>
      </c>
      <c r="BN35" s="59">
        <v>1.0900000000000001</v>
      </c>
      <c r="BO35" s="59">
        <v>1.0900000000000001</v>
      </c>
      <c r="BP35" s="59">
        <v>1.08</v>
      </c>
      <c r="BQ35" s="59">
        <v>1.08</v>
      </c>
      <c r="BR35" s="59">
        <v>1.08</v>
      </c>
      <c r="BS35" s="59">
        <v>1.08</v>
      </c>
      <c r="BT35" s="59">
        <v>1.08</v>
      </c>
      <c r="BU35" s="59">
        <v>1.07</v>
      </c>
      <c r="BV35" s="59">
        <v>1.07</v>
      </c>
      <c r="BW35" s="59">
        <v>1.07</v>
      </c>
      <c r="BX35" s="59">
        <v>1.07</v>
      </c>
      <c r="BY35" s="59">
        <v>1.07</v>
      </c>
      <c r="BZ35" s="59">
        <v>1.07</v>
      </c>
      <c r="CA35" s="59">
        <v>1.07</v>
      </c>
      <c r="CB35" s="59">
        <v>1.07</v>
      </c>
      <c r="CC35" s="59">
        <v>1.06</v>
      </c>
      <c r="CD35" s="59">
        <v>1.06</v>
      </c>
      <c r="CE35" s="59">
        <v>1.06</v>
      </c>
      <c r="CF35" s="59">
        <v>1.06</v>
      </c>
      <c r="CG35" s="59">
        <v>1.06</v>
      </c>
      <c r="CH35" s="59">
        <v>1.06</v>
      </c>
      <c r="CI35" s="59">
        <v>1.06</v>
      </c>
      <c r="CJ35" s="59">
        <v>1.06</v>
      </c>
      <c r="CK35" s="59">
        <v>1.06</v>
      </c>
      <c r="CL35" s="59">
        <v>1.05</v>
      </c>
      <c r="CM35" s="59">
        <v>1.05</v>
      </c>
      <c r="CN35" s="59">
        <v>1.05</v>
      </c>
      <c r="CO35" s="59">
        <v>1.05</v>
      </c>
    </row>
    <row r="36" spans="1:93" ht="15.75" customHeight="1" x14ac:dyDescent="0.3"/>
    <row r="37" spans="1:93" ht="15.75" customHeight="1" x14ac:dyDescent="0.3"/>
    <row r="38" spans="1:93" ht="15.75" customHeight="1" x14ac:dyDescent="0.3"/>
    <row r="39" spans="1:93" ht="15.75" customHeight="1" x14ac:dyDescent="0.3"/>
    <row r="40" spans="1:93" ht="15.75" customHeight="1" x14ac:dyDescent="0.3"/>
    <row r="41" spans="1:93" ht="15.75" customHeight="1" x14ac:dyDescent="0.3"/>
    <row r="42" spans="1:93" ht="15.75" customHeight="1" x14ac:dyDescent="0.3"/>
    <row r="43" spans="1:93" ht="15.75" customHeight="1" x14ac:dyDescent="0.3"/>
    <row r="44" spans="1:93" ht="15.75" customHeight="1" x14ac:dyDescent="0.3"/>
    <row r="45" spans="1:93" ht="15.75" customHeight="1" x14ac:dyDescent="0.3"/>
    <row r="46" spans="1:93" ht="15.75" customHeight="1" x14ac:dyDescent="0.3"/>
    <row r="47" spans="1:93" ht="15.75" customHeight="1" x14ac:dyDescent="0.3"/>
    <row r="48" spans="1:9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197</v>
      </c>
      <c r="B2" s="58">
        <v>25000</v>
      </c>
      <c r="C2" s="58">
        <v>25000</v>
      </c>
      <c r="D2" s="58">
        <v>25000</v>
      </c>
      <c r="E2" s="58">
        <v>25000</v>
      </c>
      <c r="F2" s="58">
        <v>25000</v>
      </c>
      <c r="G2" s="58">
        <v>25000</v>
      </c>
      <c r="H2" s="58">
        <v>25000</v>
      </c>
      <c r="I2" s="58">
        <v>25000</v>
      </c>
      <c r="J2" s="58">
        <v>25000</v>
      </c>
      <c r="K2" s="58">
        <v>25000</v>
      </c>
      <c r="L2" s="58">
        <v>25000</v>
      </c>
      <c r="M2" s="58">
        <v>25000</v>
      </c>
      <c r="N2" s="58">
        <v>300000</v>
      </c>
      <c r="O2" s="58">
        <v>25000</v>
      </c>
      <c r="P2" s="58">
        <v>25000</v>
      </c>
      <c r="Q2" s="58">
        <v>25000</v>
      </c>
      <c r="R2" s="58">
        <v>25000</v>
      </c>
      <c r="S2" s="58">
        <v>25000</v>
      </c>
      <c r="T2" s="58">
        <v>25000</v>
      </c>
      <c r="U2" s="58">
        <v>25000</v>
      </c>
      <c r="V2" s="58">
        <v>25000</v>
      </c>
      <c r="W2" s="58">
        <v>0</v>
      </c>
      <c r="X2" s="58">
        <v>0</v>
      </c>
      <c r="Y2" s="58">
        <v>0</v>
      </c>
      <c r="Z2" s="58">
        <v>0</v>
      </c>
      <c r="AA2" s="58">
        <v>200000</v>
      </c>
      <c r="AB2" s="58">
        <v>0</v>
      </c>
      <c r="AC2" s="58">
        <v>0</v>
      </c>
      <c r="AD2" s="58">
        <v>0</v>
      </c>
      <c r="AE2" s="58">
        <v>0</v>
      </c>
      <c r="AF2" s="58">
        <v>0</v>
      </c>
      <c r="AG2" s="58">
        <v>0</v>
      </c>
      <c r="AH2" s="58">
        <v>0</v>
      </c>
      <c r="AI2" s="58">
        <v>0</v>
      </c>
      <c r="AJ2" s="58">
        <v>0</v>
      </c>
      <c r="AK2" s="58">
        <v>0</v>
      </c>
      <c r="AL2" s="58">
        <v>0</v>
      </c>
      <c r="AM2" s="58">
        <v>0</v>
      </c>
      <c r="AN2" s="58">
        <v>0</v>
      </c>
      <c r="AO2" s="58">
        <v>0</v>
      </c>
      <c r="AP2" s="58">
        <v>0</v>
      </c>
      <c r="AQ2" s="58">
        <v>0</v>
      </c>
      <c r="AR2" s="58">
        <v>0</v>
      </c>
      <c r="AS2" s="58">
        <v>0</v>
      </c>
      <c r="AT2" s="58">
        <v>0</v>
      </c>
      <c r="AU2" s="58">
        <v>0</v>
      </c>
      <c r="AV2" s="58">
        <v>0</v>
      </c>
      <c r="AW2" s="58">
        <v>0</v>
      </c>
      <c r="AX2" s="58">
        <v>0</v>
      </c>
      <c r="AY2" s="58">
        <v>0</v>
      </c>
      <c r="AZ2" s="58">
        <v>0</v>
      </c>
      <c r="BA2" s="58">
        <v>0</v>
      </c>
      <c r="BB2" s="58">
        <v>0</v>
      </c>
      <c r="BC2" s="58">
        <v>0</v>
      </c>
      <c r="BD2" s="58">
        <v>0</v>
      </c>
      <c r="BE2" s="58">
        <v>0</v>
      </c>
      <c r="BF2" s="58">
        <v>0</v>
      </c>
      <c r="BG2" s="58">
        <v>0</v>
      </c>
      <c r="BH2" s="58">
        <v>0</v>
      </c>
      <c r="BI2" s="58">
        <v>0</v>
      </c>
      <c r="BJ2" s="58">
        <v>0</v>
      </c>
      <c r="BK2" s="58">
        <v>0</v>
      </c>
      <c r="BL2" s="58">
        <v>0</v>
      </c>
      <c r="BM2" s="58">
        <v>0</v>
      </c>
      <c r="BN2" s="58">
        <v>0</v>
      </c>
      <c r="BO2" s="58">
        <v>0</v>
      </c>
      <c r="BP2" s="58">
        <v>0</v>
      </c>
      <c r="BQ2" s="58">
        <v>0</v>
      </c>
      <c r="BR2" s="58">
        <v>0</v>
      </c>
      <c r="BS2" s="58">
        <v>0</v>
      </c>
      <c r="BT2" s="58">
        <v>0</v>
      </c>
      <c r="BU2" s="58">
        <v>0</v>
      </c>
      <c r="BV2" s="58">
        <v>0</v>
      </c>
      <c r="BW2" s="58">
        <v>0</v>
      </c>
      <c r="BX2" s="58">
        <v>0</v>
      </c>
      <c r="BY2" s="58">
        <v>0</v>
      </c>
      <c r="BZ2" s="58">
        <v>0</v>
      </c>
      <c r="CA2" s="58">
        <v>0</v>
      </c>
      <c r="CB2" s="58">
        <v>0</v>
      </c>
      <c r="CC2" s="58">
        <v>0</v>
      </c>
      <c r="CD2" s="58">
        <v>0</v>
      </c>
      <c r="CE2" s="58">
        <v>0</v>
      </c>
      <c r="CF2" s="58">
        <v>0</v>
      </c>
      <c r="CG2" s="58">
        <v>0</v>
      </c>
      <c r="CH2" s="58">
        <v>0</v>
      </c>
      <c r="CI2" s="58">
        <v>0</v>
      </c>
      <c r="CJ2" s="58">
        <v>0</v>
      </c>
      <c r="CK2" s="58">
        <v>0</v>
      </c>
      <c r="CL2" s="58">
        <v>0</v>
      </c>
      <c r="CM2" s="58">
        <v>0</v>
      </c>
      <c r="CN2" s="58">
        <v>0</v>
      </c>
      <c r="CO2" s="58">
        <v>500000</v>
      </c>
    </row>
    <row r="3" spans="1:93" ht="14.4" x14ac:dyDescent="0.3">
      <c r="A3" s="56" t="s">
        <v>260</v>
      </c>
      <c r="B3" s="58">
        <v>25000</v>
      </c>
      <c r="C3" s="58">
        <v>25000</v>
      </c>
      <c r="D3" s="58">
        <v>25000</v>
      </c>
      <c r="E3" s="58">
        <v>25000</v>
      </c>
      <c r="F3" s="58">
        <v>25000</v>
      </c>
      <c r="G3" s="58">
        <v>25000</v>
      </c>
      <c r="H3" s="58">
        <v>25000</v>
      </c>
      <c r="I3" s="58">
        <v>25000</v>
      </c>
      <c r="J3" s="58">
        <v>25000</v>
      </c>
      <c r="K3" s="58">
        <v>25000</v>
      </c>
      <c r="L3" s="58">
        <v>25000</v>
      </c>
      <c r="M3" s="58">
        <v>25000</v>
      </c>
      <c r="N3" s="58">
        <v>300000</v>
      </c>
      <c r="O3" s="58">
        <v>25000</v>
      </c>
      <c r="P3" s="58">
        <v>25000</v>
      </c>
      <c r="Q3" s="58">
        <v>25000</v>
      </c>
      <c r="R3" s="58">
        <v>25000</v>
      </c>
      <c r="S3" s="58">
        <v>25000</v>
      </c>
      <c r="T3" s="58">
        <v>25000</v>
      </c>
      <c r="U3" s="58">
        <v>25000</v>
      </c>
      <c r="V3" s="58">
        <v>25000</v>
      </c>
      <c r="W3" s="58">
        <v>0</v>
      </c>
      <c r="X3" s="58">
        <v>0</v>
      </c>
      <c r="Y3" s="58">
        <v>0</v>
      </c>
      <c r="Z3" s="58">
        <v>0</v>
      </c>
      <c r="AA3" s="58">
        <v>200000</v>
      </c>
      <c r="AB3" s="58">
        <v>0</v>
      </c>
      <c r="AC3" s="58">
        <v>0</v>
      </c>
      <c r="AD3" s="58">
        <v>0</v>
      </c>
      <c r="AE3" s="58">
        <v>0</v>
      </c>
      <c r="AF3" s="58">
        <v>0</v>
      </c>
      <c r="AG3" s="58">
        <v>0</v>
      </c>
      <c r="AH3" s="58">
        <v>0</v>
      </c>
      <c r="AI3" s="58">
        <v>0</v>
      </c>
      <c r="AJ3" s="58">
        <v>0</v>
      </c>
      <c r="AK3" s="58">
        <v>0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58">
        <v>0</v>
      </c>
      <c r="AS3" s="58">
        <v>0</v>
      </c>
      <c r="AT3" s="58">
        <v>0</v>
      </c>
      <c r="AU3" s="58">
        <v>0</v>
      </c>
      <c r="AV3" s="58">
        <v>0</v>
      </c>
      <c r="AW3" s="58">
        <v>0</v>
      </c>
      <c r="AX3" s="58">
        <v>0</v>
      </c>
      <c r="AY3" s="58">
        <v>0</v>
      </c>
      <c r="AZ3" s="58">
        <v>0</v>
      </c>
      <c r="BA3" s="58">
        <v>0</v>
      </c>
      <c r="BB3" s="58">
        <v>0</v>
      </c>
      <c r="BC3" s="58">
        <v>0</v>
      </c>
      <c r="BD3" s="58">
        <v>0</v>
      </c>
      <c r="BE3" s="58">
        <v>0</v>
      </c>
      <c r="BF3" s="58">
        <v>0</v>
      </c>
      <c r="BG3" s="58">
        <v>0</v>
      </c>
      <c r="BH3" s="58">
        <v>0</v>
      </c>
      <c r="BI3" s="58">
        <v>0</v>
      </c>
      <c r="BJ3" s="58">
        <v>0</v>
      </c>
      <c r="BK3" s="58">
        <v>0</v>
      </c>
      <c r="BL3" s="58">
        <v>0</v>
      </c>
      <c r="BM3" s="58">
        <v>0</v>
      </c>
      <c r="BN3" s="58">
        <v>0</v>
      </c>
      <c r="BO3" s="58">
        <v>0</v>
      </c>
      <c r="BP3" s="58">
        <v>0</v>
      </c>
      <c r="BQ3" s="58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0</v>
      </c>
      <c r="BX3" s="58">
        <v>0</v>
      </c>
      <c r="BY3" s="58">
        <v>0</v>
      </c>
      <c r="BZ3" s="58">
        <v>0</v>
      </c>
      <c r="CA3" s="58">
        <v>0</v>
      </c>
      <c r="CB3" s="58">
        <v>0</v>
      </c>
      <c r="CC3" s="58">
        <v>0</v>
      </c>
      <c r="CD3" s="58">
        <v>0</v>
      </c>
      <c r="CE3" s="58">
        <v>0</v>
      </c>
      <c r="CF3" s="58">
        <v>0</v>
      </c>
      <c r="CG3" s="58">
        <v>0</v>
      </c>
      <c r="CH3" s="58">
        <v>0</v>
      </c>
      <c r="CI3" s="58">
        <v>0</v>
      </c>
      <c r="CJ3" s="58">
        <v>0</v>
      </c>
      <c r="CK3" s="58">
        <v>0</v>
      </c>
      <c r="CL3" s="58">
        <v>0</v>
      </c>
      <c r="CM3" s="58">
        <v>0</v>
      </c>
      <c r="CN3" s="58">
        <v>0</v>
      </c>
      <c r="CO3" s="58">
        <v>500000</v>
      </c>
    </row>
    <row r="4" spans="1:93" ht="14.4" x14ac:dyDescent="0.3">
      <c r="A4" s="56" t="s">
        <v>261</v>
      </c>
      <c r="B4" s="58">
        <v>25000</v>
      </c>
      <c r="C4" s="58">
        <v>25000</v>
      </c>
      <c r="D4" s="58">
        <v>25000</v>
      </c>
      <c r="E4" s="58">
        <v>25000</v>
      </c>
      <c r="F4" s="58">
        <v>25000</v>
      </c>
      <c r="G4" s="58">
        <v>25000</v>
      </c>
      <c r="H4" s="58">
        <v>25000</v>
      </c>
      <c r="I4" s="58">
        <v>25000</v>
      </c>
      <c r="J4" s="58">
        <v>25000</v>
      </c>
      <c r="K4" s="58">
        <v>25000</v>
      </c>
      <c r="L4" s="58">
        <v>25000</v>
      </c>
      <c r="M4" s="58">
        <v>25000</v>
      </c>
      <c r="N4" s="58">
        <v>300000</v>
      </c>
      <c r="O4" s="58">
        <v>25000</v>
      </c>
      <c r="P4" s="58">
        <v>25000</v>
      </c>
      <c r="Q4" s="58">
        <v>25000</v>
      </c>
      <c r="R4" s="58">
        <v>25000</v>
      </c>
      <c r="S4" s="58">
        <v>25000</v>
      </c>
      <c r="T4" s="58">
        <v>25000</v>
      </c>
      <c r="U4" s="58">
        <v>25000</v>
      </c>
      <c r="V4" s="58">
        <v>25000</v>
      </c>
      <c r="W4" s="58">
        <v>0</v>
      </c>
      <c r="X4" s="58">
        <v>0</v>
      </c>
      <c r="Y4" s="58">
        <v>0</v>
      </c>
      <c r="Z4" s="58">
        <v>0</v>
      </c>
      <c r="AA4" s="58">
        <v>200000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0</v>
      </c>
      <c r="AW4" s="58">
        <v>0</v>
      </c>
      <c r="AX4" s="58">
        <v>0</v>
      </c>
      <c r="AY4" s="58">
        <v>0</v>
      </c>
      <c r="AZ4" s="58">
        <v>0</v>
      </c>
      <c r="BA4" s="58">
        <v>0</v>
      </c>
      <c r="BB4" s="58">
        <v>0</v>
      </c>
      <c r="BC4" s="58">
        <v>0</v>
      </c>
      <c r="BD4" s="58">
        <v>0</v>
      </c>
      <c r="BE4" s="58">
        <v>0</v>
      </c>
      <c r="BF4" s="58">
        <v>0</v>
      </c>
      <c r="BG4" s="58">
        <v>0</v>
      </c>
      <c r="BH4" s="58">
        <v>0</v>
      </c>
      <c r="BI4" s="58">
        <v>0</v>
      </c>
      <c r="BJ4" s="58">
        <v>0</v>
      </c>
      <c r="BK4" s="58">
        <v>0</v>
      </c>
      <c r="BL4" s="58">
        <v>0</v>
      </c>
      <c r="BM4" s="58">
        <v>0</v>
      </c>
      <c r="BN4" s="58">
        <v>0</v>
      </c>
      <c r="BO4" s="58">
        <v>0</v>
      </c>
      <c r="BP4" s="58">
        <v>0</v>
      </c>
      <c r="BQ4" s="58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0</v>
      </c>
      <c r="BX4" s="58">
        <v>0</v>
      </c>
      <c r="BY4" s="58">
        <v>0</v>
      </c>
      <c r="BZ4" s="58">
        <v>0</v>
      </c>
      <c r="CA4" s="58">
        <v>0</v>
      </c>
      <c r="CB4" s="58">
        <v>0</v>
      </c>
      <c r="CC4" s="58">
        <v>0</v>
      </c>
      <c r="CD4" s="58">
        <v>0</v>
      </c>
      <c r="CE4" s="58">
        <v>0</v>
      </c>
      <c r="CF4" s="58">
        <v>0</v>
      </c>
      <c r="CG4" s="58">
        <v>0</v>
      </c>
      <c r="CH4" s="58">
        <v>0</v>
      </c>
      <c r="CI4" s="58">
        <v>0</v>
      </c>
      <c r="CJ4" s="58">
        <v>0</v>
      </c>
      <c r="CK4" s="58">
        <v>0</v>
      </c>
      <c r="CL4" s="58">
        <v>0</v>
      </c>
      <c r="CM4" s="58">
        <v>0</v>
      </c>
      <c r="CN4" s="58">
        <v>0</v>
      </c>
      <c r="CO4" s="58">
        <v>500000</v>
      </c>
    </row>
    <row r="5" spans="1:93" ht="14.4" x14ac:dyDescent="0.3">
      <c r="A5" s="56" t="s">
        <v>169</v>
      </c>
    </row>
    <row r="6" spans="1:93" ht="14.4" x14ac:dyDescent="0.3">
      <c r="A6" s="56" t="s">
        <v>202</v>
      </c>
      <c r="B6" s="58">
        <v>208.95</v>
      </c>
      <c r="C6" s="58">
        <v>626.85</v>
      </c>
      <c r="D6" s="58">
        <v>1046.8399999999999</v>
      </c>
      <c r="E6" s="58">
        <v>1465.58</v>
      </c>
      <c r="F6" s="58">
        <v>1890.58</v>
      </c>
      <c r="G6" s="58">
        <v>2306.39</v>
      </c>
      <c r="H6" s="58">
        <v>2721.37</v>
      </c>
      <c r="I6" s="58">
        <v>3129.65</v>
      </c>
      <c r="J6" s="58">
        <v>3536.69</v>
      </c>
      <c r="K6" s="58">
        <v>3961.27</v>
      </c>
      <c r="L6" s="58">
        <v>4397.1400000000003</v>
      </c>
      <c r="M6" s="58">
        <v>4836.7700000000004</v>
      </c>
      <c r="N6" s="58">
        <v>30128.080000000002</v>
      </c>
      <c r="O6" s="58">
        <v>5272.23</v>
      </c>
      <c r="P6" s="58">
        <v>5693.89</v>
      </c>
      <c r="Q6" s="58">
        <v>6092.56</v>
      </c>
      <c r="R6" s="58">
        <v>6519.24</v>
      </c>
      <c r="S6" s="58">
        <v>6910.39</v>
      </c>
      <c r="T6" s="58">
        <v>7324.95</v>
      </c>
      <c r="U6" s="58">
        <v>7764.58</v>
      </c>
      <c r="V6" s="58">
        <v>8152.81</v>
      </c>
      <c r="W6" s="58">
        <v>8560.26</v>
      </c>
      <c r="X6" s="58">
        <v>8988.19</v>
      </c>
      <c r="Y6" s="58">
        <v>9437.44</v>
      </c>
      <c r="Z6" s="58">
        <v>9814.7999999999993</v>
      </c>
      <c r="AA6" s="58">
        <v>90531.34</v>
      </c>
      <c r="AB6" s="58">
        <v>10207.209999999999</v>
      </c>
      <c r="AC6" s="58">
        <v>10615.5</v>
      </c>
      <c r="AD6" s="58">
        <v>11040.08</v>
      </c>
      <c r="AE6" s="58">
        <v>11481.8</v>
      </c>
      <c r="AF6" s="58">
        <v>11941.07</v>
      </c>
      <c r="AG6" s="58">
        <v>12418.73</v>
      </c>
      <c r="AH6" s="58">
        <v>12791.5</v>
      </c>
      <c r="AI6" s="58">
        <v>13175.13</v>
      </c>
      <c r="AJ6" s="58">
        <v>13570.47</v>
      </c>
      <c r="AK6" s="58">
        <v>13977.5</v>
      </c>
      <c r="AL6" s="58">
        <v>14396.66</v>
      </c>
      <c r="AM6" s="58">
        <v>14828.76</v>
      </c>
      <c r="AN6" s="58">
        <v>150444.41</v>
      </c>
      <c r="AO6" s="58">
        <v>15273.83</v>
      </c>
      <c r="AP6" s="58">
        <v>15731.85</v>
      </c>
      <c r="AQ6" s="58">
        <v>16203.65</v>
      </c>
      <c r="AR6" s="58">
        <v>16851.82</v>
      </c>
      <c r="AS6" s="58">
        <v>17525.89</v>
      </c>
      <c r="AT6" s="58">
        <v>18227.13</v>
      </c>
      <c r="AU6" s="58">
        <v>18956.36</v>
      </c>
      <c r="AV6" s="58">
        <v>19714.43</v>
      </c>
      <c r="AW6" s="58">
        <v>20503.009999999998</v>
      </c>
      <c r="AX6" s="58">
        <v>21322.93</v>
      </c>
      <c r="AY6" s="58">
        <v>22175.86</v>
      </c>
      <c r="AZ6" s="58">
        <v>23063.07</v>
      </c>
      <c r="BA6" s="58">
        <v>225549.83</v>
      </c>
      <c r="BB6" s="58">
        <v>3346.34</v>
      </c>
      <c r="BC6" s="58">
        <v>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3346.34</v>
      </c>
      <c r="BO6" s="58">
        <v>0</v>
      </c>
      <c r="BP6" s="58">
        <v>0</v>
      </c>
      <c r="BQ6" s="58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8">
        <v>0</v>
      </c>
      <c r="BZ6" s="58">
        <v>0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0</v>
      </c>
      <c r="CM6" s="58">
        <v>0</v>
      </c>
      <c r="CN6" s="58">
        <v>0</v>
      </c>
      <c r="CO6" s="58">
        <v>500000</v>
      </c>
    </row>
    <row r="7" spans="1:93" ht="14.4" x14ac:dyDescent="0.3">
      <c r="A7" s="56" t="s">
        <v>260</v>
      </c>
      <c r="B7" s="58">
        <v>208.95</v>
      </c>
      <c r="C7" s="58">
        <v>626.85</v>
      </c>
      <c r="D7" s="58">
        <v>1046.8399999999999</v>
      </c>
      <c r="E7" s="58">
        <v>1465.58</v>
      </c>
      <c r="F7" s="58">
        <v>1890.58</v>
      </c>
      <c r="G7" s="58">
        <v>2306.39</v>
      </c>
      <c r="H7" s="58">
        <v>2721.37</v>
      </c>
      <c r="I7" s="58">
        <v>3129.65</v>
      </c>
      <c r="J7" s="58">
        <v>3536.69</v>
      </c>
      <c r="K7" s="58">
        <v>3961.27</v>
      </c>
      <c r="L7" s="58">
        <v>4397.1400000000003</v>
      </c>
      <c r="M7" s="58">
        <v>4836.7700000000004</v>
      </c>
      <c r="N7" s="58">
        <v>30128.080000000002</v>
      </c>
      <c r="O7" s="58">
        <v>5272.23</v>
      </c>
      <c r="P7" s="58">
        <v>5693.89</v>
      </c>
      <c r="Q7" s="58">
        <v>6092.56</v>
      </c>
      <c r="R7" s="58">
        <v>6519.24</v>
      </c>
      <c r="S7" s="58">
        <v>6910.39</v>
      </c>
      <c r="T7" s="58">
        <v>7324.95</v>
      </c>
      <c r="U7" s="58">
        <v>7764.58</v>
      </c>
      <c r="V7" s="58">
        <v>8152.81</v>
      </c>
      <c r="W7" s="58">
        <v>8560.26</v>
      </c>
      <c r="X7" s="58">
        <v>8988.19</v>
      </c>
      <c r="Y7" s="58">
        <v>9437.44</v>
      </c>
      <c r="Z7" s="58">
        <v>9814.7999999999993</v>
      </c>
      <c r="AA7" s="58">
        <v>90531.34</v>
      </c>
      <c r="AB7" s="58">
        <v>10207.209999999999</v>
      </c>
      <c r="AC7" s="58">
        <v>10615.5</v>
      </c>
      <c r="AD7" s="58">
        <v>11040.08</v>
      </c>
      <c r="AE7" s="58">
        <v>11481.8</v>
      </c>
      <c r="AF7" s="58">
        <v>11941.07</v>
      </c>
      <c r="AG7" s="58">
        <v>12418.73</v>
      </c>
      <c r="AH7" s="58">
        <v>12791.5</v>
      </c>
      <c r="AI7" s="58">
        <v>13175.13</v>
      </c>
      <c r="AJ7" s="58">
        <v>13570.47</v>
      </c>
      <c r="AK7" s="58">
        <v>13977.5</v>
      </c>
      <c r="AL7" s="58">
        <v>14396.66</v>
      </c>
      <c r="AM7" s="58">
        <v>14828.76</v>
      </c>
      <c r="AN7" s="58">
        <v>150444.41</v>
      </c>
      <c r="AO7" s="58">
        <v>15273.83</v>
      </c>
      <c r="AP7" s="58">
        <v>15731.85</v>
      </c>
      <c r="AQ7" s="58">
        <v>16203.65</v>
      </c>
      <c r="AR7" s="58">
        <v>16851.82</v>
      </c>
      <c r="AS7" s="58">
        <v>17525.89</v>
      </c>
      <c r="AT7" s="58">
        <v>18227.13</v>
      </c>
      <c r="AU7" s="58">
        <v>18956.36</v>
      </c>
      <c r="AV7" s="58">
        <v>19714.43</v>
      </c>
      <c r="AW7" s="58">
        <v>20503.009999999998</v>
      </c>
      <c r="AX7" s="58">
        <v>21322.93</v>
      </c>
      <c r="AY7" s="58">
        <v>22175.86</v>
      </c>
      <c r="AZ7" s="58">
        <v>23063.07</v>
      </c>
      <c r="BA7" s="58">
        <v>225549.83</v>
      </c>
      <c r="BB7" s="58">
        <v>3346.34</v>
      </c>
      <c r="BC7" s="58">
        <v>0</v>
      </c>
      <c r="BD7" s="58">
        <v>0</v>
      </c>
      <c r="BE7" s="58">
        <v>0</v>
      </c>
      <c r="BF7" s="58">
        <v>0</v>
      </c>
      <c r="BG7" s="58">
        <v>0</v>
      </c>
      <c r="BH7" s="58">
        <v>0</v>
      </c>
      <c r="BI7" s="58">
        <v>0</v>
      </c>
      <c r="BJ7" s="58">
        <v>0</v>
      </c>
      <c r="BK7" s="58">
        <v>0</v>
      </c>
      <c r="BL7" s="58">
        <v>0</v>
      </c>
      <c r="BM7" s="58">
        <v>0</v>
      </c>
      <c r="BN7" s="58">
        <v>3346.34</v>
      </c>
      <c r="BO7" s="58">
        <v>0</v>
      </c>
      <c r="BP7" s="58">
        <v>0</v>
      </c>
      <c r="BQ7" s="58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0</v>
      </c>
      <c r="BX7" s="58">
        <v>0</v>
      </c>
      <c r="BY7" s="58">
        <v>0</v>
      </c>
      <c r="BZ7" s="58">
        <v>0</v>
      </c>
      <c r="CA7" s="58">
        <v>0</v>
      </c>
      <c r="CB7" s="58">
        <v>0</v>
      </c>
      <c r="CC7" s="58">
        <v>0</v>
      </c>
      <c r="CD7" s="58">
        <v>0</v>
      </c>
      <c r="CE7" s="58">
        <v>0</v>
      </c>
      <c r="CF7" s="58">
        <v>0</v>
      </c>
      <c r="CG7" s="58">
        <v>0</v>
      </c>
      <c r="CH7" s="58">
        <v>0</v>
      </c>
      <c r="CI7" s="58">
        <v>0</v>
      </c>
      <c r="CJ7" s="58">
        <v>0</v>
      </c>
      <c r="CK7" s="58">
        <v>0</v>
      </c>
      <c r="CL7" s="58">
        <v>0</v>
      </c>
      <c r="CM7" s="58">
        <v>0</v>
      </c>
      <c r="CN7" s="58">
        <v>0</v>
      </c>
      <c r="CO7" s="58">
        <v>500000</v>
      </c>
    </row>
    <row r="8" spans="1:93" ht="14.4" x14ac:dyDescent="0.3">
      <c r="A8" s="56" t="s">
        <v>261</v>
      </c>
      <c r="B8" s="58">
        <v>208.95</v>
      </c>
      <c r="C8" s="58">
        <v>626.85</v>
      </c>
      <c r="D8" s="58">
        <v>1046.8399999999999</v>
      </c>
      <c r="E8" s="58">
        <v>1465.58</v>
      </c>
      <c r="F8" s="58">
        <v>1890.58</v>
      </c>
      <c r="G8" s="58">
        <v>2306.39</v>
      </c>
      <c r="H8" s="58">
        <v>2721.37</v>
      </c>
      <c r="I8" s="58">
        <v>3129.65</v>
      </c>
      <c r="J8" s="58">
        <v>3536.69</v>
      </c>
      <c r="K8" s="58">
        <v>3961.27</v>
      </c>
      <c r="L8" s="58">
        <v>4397.1400000000003</v>
      </c>
      <c r="M8" s="58">
        <v>4836.7700000000004</v>
      </c>
      <c r="N8" s="58">
        <v>30128.080000000002</v>
      </c>
      <c r="O8" s="58">
        <v>5272.23</v>
      </c>
      <c r="P8" s="58">
        <v>5693.89</v>
      </c>
      <c r="Q8" s="58">
        <v>6092.56</v>
      </c>
      <c r="R8" s="58">
        <v>6519.24</v>
      </c>
      <c r="S8" s="58">
        <v>6910.39</v>
      </c>
      <c r="T8" s="58">
        <v>7324.95</v>
      </c>
      <c r="U8" s="58">
        <v>7764.58</v>
      </c>
      <c r="V8" s="58">
        <v>8152.81</v>
      </c>
      <c r="W8" s="58">
        <v>8560.26</v>
      </c>
      <c r="X8" s="58">
        <v>8988.19</v>
      </c>
      <c r="Y8" s="58">
        <v>9437.44</v>
      </c>
      <c r="Z8" s="58">
        <v>9814.7999999999993</v>
      </c>
      <c r="AA8" s="58">
        <v>90531.34</v>
      </c>
      <c r="AB8" s="58">
        <v>10207.209999999999</v>
      </c>
      <c r="AC8" s="58">
        <v>10615.5</v>
      </c>
      <c r="AD8" s="58">
        <v>11040.08</v>
      </c>
      <c r="AE8" s="58">
        <v>11481.8</v>
      </c>
      <c r="AF8" s="58">
        <v>11941.07</v>
      </c>
      <c r="AG8" s="58">
        <v>12418.73</v>
      </c>
      <c r="AH8" s="58">
        <v>12791.5</v>
      </c>
      <c r="AI8" s="58">
        <v>13175.13</v>
      </c>
      <c r="AJ8" s="58">
        <v>13570.47</v>
      </c>
      <c r="AK8" s="58">
        <v>13977.5</v>
      </c>
      <c r="AL8" s="58">
        <v>14396.66</v>
      </c>
      <c r="AM8" s="58">
        <v>14828.76</v>
      </c>
      <c r="AN8" s="58">
        <v>150444.41</v>
      </c>
      <c r="AO8" s="58">
        <v>15273.83</v>
      </c>
      <c r="AP8" s="58">
        <v>15731.85</v>
      </c>
      <c r="AQ8" s="58">
        <v>16203.65</v>
      </c>
      <c r="AR8" s="58">
        <v>16851.82</v>
      </c>
      <c r="AS8" s="58">
        <v>17525.89</v>
      </c>
      <c r="AT8" s="58">
        <v>18227.13</v>
      </c>
      <c r="AU8" s="58">
        <v>18956.36</v>
      </c>
      <c r="AV8" s="58">
        <v>19714.43</v>
      </c>
      <c r="AW8" s="58">
        <v>20503.009999999998</v>
      </c>
      <c r="AX8" s="58">
        <v>21322.93</v>
      </c>
      <c r="AY8" s="58">
        <v>22175.86</v>
      </c>
      <c r="AZ8" s="58">
        <v>23063.07</v>
      </c>
      <c r="BA8" s="58">
        <v>225549.83</v>
      </c>
      <c r="BB8" s="58">
        <v>3346.34</v>
      </c>
      <c r="BC8" s="58">
        <v>0</v>
      </c>
      <c r="BD8" s="58">
        <v>0</v>
      </c>
      <c r="BE8" s="58">
        <v>0</v>
      </c>
      <c r="BF8" s="58">
        <v>0</v>
      </c>
      <c r="BG8" s="58">
        <v>0</v>
      </c>
      <c r="BH8" s="58">
        <v>0</v>
      </c>
      <c r="BI8" s="58">
        <v>0</v>
      </c>
      <c r="BJ8" s="58">
        <v>0</v>
      </c>
      <c r="BK8" s="58">
        <v>0</v>
      </c>
      <c r="BL8" s="58">
        <v>0</v>
      </c>
      <c r="BM8" s="58">
        <v>0</v>
      </c>
      <c r="BN8" s="58">
        <v>3346.34</v>
      </c>
      <c r="BO8" s="58">
        <v>0</v>
      </c>
      <c r="BP8" s="58">
        <v>0</v>
      </c>
      <c r="BQ8" s="58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0</v>
      </c>
      <c r="BX8" s="58">
        <v>0</v>
      </c>
      <c r="BY8" s="58">
        <v>0</v>
      </c>
      <c r="BZ8" s="58">
        <v>0</v>
      </c>
      <c r="CA8" s="58">
        <v>0</v>
      </c>
      <c r="CB8" s="58">
        <v>0</v>
      </c>
      <c r="CC8" s="58">
        <v>0</v>
      </c>
      <c r="CD8" s="58">
        <v>0</v>
      </c>
      <c r="CE8" s="58">
        <v>0</v>
      </c>
      <c r="CF8" s="58">
        <v>0</v>
      </c>
      <c r="CG8" s="58">
        <v>0</v>
      </c>
      <c r="CH8" s="58">
        <v>0</v>
      </c>
      <c r="CI8" s="58">
        <v>0</v>
      </c>
      <c r="CJ8" s="58">
        <v>0</v>
      </c>
      <c r="CK8" s="58">
        <v>0</v>
      </c>
      <c r="CL8" s="58">
        <v>0</v>
      </c>
      <c r="CM8" s="58">
        <v>0</v>
      </c>
      <c r="CN8" s="58">
        <v>0</v>
      </c>
      <c r="CO8" s="58">
        <v>500000</v>
      </c>
    </row>
    <row r="9" spans="1:93" ht="14.4" x14ac:dyDescent="0.3">
      <c r="A9" s="56" t="s">
        <v>262</v>
      </c>
      <c r="B9" s="58">
        <v>208.95</v>
      </c>
      <c r="C9" s="58">
        <v>626.85</v>
      </c>
      <c r="D9" s="58">
        <v>1046.8399999999999</v>
      </c>
      <c r="E9" s="58">
        <v>1465.58</v>
      </c>
      <c r="F9" s="58">
        <v>1890.58</v>
      </c>
      <c r="G9" s="58">
        <v>2306.39</v>
      </c>
      <c r="H9" s="58">
        <v>2721.37</v>
      </c>
      <c r="I9" s="58">
        <v>3129.65</v>
      </c>
      <c r="J9" s="58">
        <v>3536.69</v>
      </c>
      <c r="K9" s="58">
        <v>3961.27</v>
      </c>
      <c r="L9" s="58">
        <v>4397.1400000000003</v>
      </c>
      <c r="M9" s="58">
        <v>4836.7700000000004</v>
      </c>
      <c r="N9" s="58">
        <v>30128.080000000002</v>
      </c>
      <c r="O9" s="58">
        <v>5272.23</v>
      </c>
      <c r="P9" s="58">
        <v>5693.89</v>
      </c>
      <c r="Q9" s="58">
        <v>6092.56</v>
      </c>
      <c r="R9" s="58">
        <v>6519.24</v>
      </c>
      <c r="S9" s="58">
        <v>6910.39</v>
      </c>
      <c r="T9" s="58">
        <v>7324.95</v>
      </c>
      <c r="U9" s="58">
        <v>7764.58</v>
      </c>
      <c r="V9" s="58">
        <v>8152.81</v>
      </c>
      <c r="W9" s="58">
        <v>8560.26</v>
      </c>
      <c r="X9" s="58">
        <v>8988.19</v>
      </c>
      <c r="Y9" s="58">
        <v>9437.44</v>
      </c>
      <c r="Z9" s="58">
        <v>9814.7999999999993</v>
      </c>
      <c r="AA9" s="58">
        <v>90531.34</v>
      </c>
      <c r="AB9" s="58">
        <v>10207.209999999999</v>
      </c>
      <c r="AC9" s="58">
        <v>10615.5</v>
      </c>
      <c r="AD9" s="58">
        <v>11040.08</v>
      </c>
      <c r="AE9" s="58">
        <v>11481.8</v>
      </c>
      <c r="AF9" s="58">
        <v>11941.07</v>
      </c>
      <c r="AG9" s="58">
        <v>12418.73</v>
      </c>
      <c r="AH9" s="58">
        <v>12791.5</v>
      </c>
      <c r="AI9" s="58">
        <v>13175.13</v>
      </c>
      <c r="AJ9" s="58">
        <v>13570.47</v>
      </c>
      <c r="AK9" s="58">
        <v>13977.5</v>
      </c>
      <c r="AL9" s="58">
        <v>14396.66</v>
      </c>
      <c r="AM9" s="58">
        <v>14828.76</v>
      </c>
      <c r="AN9" s="58">
        <v>150444.41</v>
      </c>
      <c r="AO9" s="58">
        <v>15273.83</v>
      </c>
      <c r="AP9" s="58">
        <v>15731.85</v>
      </c>
      <c r="AQ9" s="58">
        <v>16203.65</v>
      </c>
      <c r="AR9" s="58">
        <v>16851.82</v>
      </c>
      <c r="AS9" s="58">
        <v>17525.89</v>
      </c>
      <c r="AT9" s="58">
        <v>18227.13</v>
      </c>
      <c r="AU9" s="58">
        <v>18956.36</v>
      </c>
      <c r="AV9" s="58">
        <v>19714.43</v>
      </c>
      <c r="AW9" s="58">
        <v>20503.009999999998</v>
      </c>
      <c r="AX9" s="58">
        <v>21322.93</v>
      </c>
      <c r="AY9" s="58">
        <v>22175.86</v>
      </c>
      <c r="AZ9" s="58">
        <v>23063.07</v>
      </c>
      <c r="BA9" s="58">
        <v>225549.83</v>
      </c>
      <c r="BB9" s="58">
        <v>3346.34</v>
      </c>
      <c r="BC9" s="58">
        <v>0</v>
      </c>
      <c r="BD9" s="58">
        <v>0</v>
      </c>
      <c r="BE9" s="58">
        <v>0</v>
      </c>
      <c r="BF9" s="58">
        <v>0</v>
      </c>
      <c r="BG9" s="58">
        <v>0</v>
      </c>
      <c r="BH9" s="58">
        <v>0</v>
      </c>
      <c r="BI9" s="58">
        <v>0</v>
      </c>
      <c r="BJ9" s="58">
        <v>0</v>
      </c>
      <c r="BK9" s="58">
        <v>0</v>
      </c>
      <c r="BL9" s="58">
        <v>0</v>
      </c>
      <c r="BM9" s="58">
        <v>0</v>
      </c>
      <c r="BN9" s="58">
        <v>3346.34</v>
      </c>
      <c r="BO9" s="58">
        <v>0</v>
      </c>
      <c r="BP9" s="58">
        <v>0</v>
      </c>
      <c r="BQ9" s="58">
        <v>0</v>
      </c>
      <c r="BR9" s="58">
        <v>0</v>
      </c>
      <c r="BS9" s="58">
        <v>0</v>
      </c>
      <c r="BT9" s="58">
        <v>0</v>
      </c>
      <c r="BU9" s="58">
        <v>0</v>
      </c>
      <c r="BV9" s="58">
        <v>0</v>
      </c>
      <c r="BW9" s="58">
        <v>0</v>
      </c>
      <c r="BX9" s="58">
        <v>0</v>
      </c>
      <c r="BY9" s="58">
        <v>0</v>
      </c>
      <c r="BZ9" s="58">
        <v>0</v>
      </c>
      <c r="CA9" s="58">
        <v>0</v>
      </c>
      <c r="CB9" s="58">
        <v>0</v>
      </c>
      <c r="CC9" s="58">
        <v>0</v>
      </c>
      <c r="CD9" s="58">
        <v>0</v>
      </c>
      <c r="CE9" s="58">
        <v>0</v>
      </c>
      <c r="CF9" s="58">
        <v>0</v>
      </c>
      <c r="CG9" s="58">
        <v>0</v>
      </c>
      <c r="CH9" s="58">
        <v>0</v>
      </c>
      <c r="CI9" s="58">
        <v>0</v>
      </c>
      <c r="CJ9" s="58">
        <v>0</v>
      </c>
      <c r="CK9" s="58">
        <v>0</v>
      </c>
      <c r="CL9" s="58">
        <v>0</v>
      </c>
      <c r="CM9" s="58">
        <v>0</v>
      </c>
      <c r="CN9" s="58">
        <v>0</v>
      </c>
      <c r="CO9" s="58">
        <v>500000</v>
      </c>
    </row>
    <row r="10" spans="1:93" ht="14.4" x14ac:dyDescent="0.3">
      <c r="A10" s="56" t="s">
        <v>263</v>
      </c>
      <c r="B10" s="58">
        <v>0</v>
      </c>
      <c r="C10" s="58">
        <v>0</v>
      </c>
      <c r="D10" s="58">
        <v>0</v>
      </c>
      <c r="E10" s="58">
        <v>0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>
        <v>0</v>
      </c>
      <c r="AK10" s="58">
        <v>0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58">
        <v>0</v>
      </c>
      <c r="AW10" s="58">
        <v>0</v>
      </c>
      <c r="AX10" s="58">
        <v>0</v>
      </c>
      <c r="AY10" s="58">
        <v>0</v>
      </c>
      <c r="AZ10" s="58">
        <v>0</v>
      </c>
      <c r="BA10" s="58">
        <v>0</v>
      </c>
      <c r="BB10" s="58">
        <v>0</v>
      </c>
      <c r="BC10" s="58">
        <v>0</v>
      </c>
      <c r="BD10" s="58">
        <v>0</v>
      </c>
      <c r="BE10" s="58">
        <v>0</v>
      </c>
      <c r="BF10" s="58">
        <v>0</v>
      </c>
      <c r="BG10" s="58">
        <v>0</v>
      </c>
      <c r="BH10" s="58">
        <v>0</v>
      </c>
      <c r="BI10" s="58">
        <v>0</v>
      </c>
      <c r="BJ10" s="58">
        <v>0</v>
      </c>
      <c r="BK10" s="58">
        <v>0</v>
      </c>
      <c r="BL10" s="58">
        <v>0</v>
      </c>
      <c r="BM10" s="58">
        <v>0</v>
      </c>
      <c r="BN10" s="58">
        <v>0</v>
      </c>
      <c r="BO10" s="58">
        <v>0</v>
      </c>
      <c r="BP10" s="58">
        <v>0</v>
      </c>
      <c r="BQ10" s="58">
        <v>0</v>
      </c>
      <c r="BR10" s="58">
        <v>0</v>
      </c>
      <c r="BS10" s="58">
        <v>0</v>
      </c>
      <c r="BT10" s="58">
        <v>0</v>
      </c>
      <c r="BU10" s="58">
        <v>0</v>
      </c>
      <c r="BV10" s="58">
        <v>0</v>
      </c>
      <c r="BW10" s="58">
        <v>0</v>
      </c>
      <c r="BX10" s="58">
        <v>0</v>
      </c>
      <c r="BY10" s="58">
        <v>0</v>
      </c>
      <c r="BZ10" s="58">
        <v>0</v>
      </c>
      <c r="CA10" s="58">
        <v>0</v>
      </c>
      <c r="CB10" s="58">
        <v>0</v>
      </c>
      <c r="CC10" s="58">
        <v>0</v>
      </c>
      <c r="CD10" s="58">
        <v>0</v>
      </c>
      <c r="CE10" s="58">
        <v>0</v>
      </c>
      <c r="CF10" s="58">
        <v>0</v>
      </c>
      <c r="CG10" s="58">
        <v>0</v>
      </c>
      <c r="CH10" s="58">
        <v>0</v>
      </c>
      <c r="CI10" s="58">
        <v>0</v>
      </c>
      <c r="CJ10" s="58">
        <v>0</v>
      </c>
      <c r="CK10" s="58">
        <v>0</v>
      </c>
      <c r="CL10" s="58">
        <v>0</v>
      </c>
      <c r="CM10" s="58">
        <v>0</v>
      </c>
      <c r="CN10" s="58">
        <v>0</v>
      </c>
      <c r="CO10" s="58">
        <v>0</v>
      </c>
    </row>
    <row r="11" spans="1:93" ht="14.4" x14ac:dyDescent="0.3">
      <c r="A11" s="56" t="s">
        <v>169</v>
      </c>
    </row>
    <row r="12" spans="1:93" ht="14.4" x14ac:dyDescent="0.3">
      <c r="A12" s="56" t="s">
        <v>264</v>
      </c>
      <c r="B12" s="58">
        <v>24791.05</v>
      </c>
      <c r="C12" s="58">
        <v>49164.2</v>
      </c>
      <c r="D12" s="58">
        <v>73117.36</v>
      </c>
      <c r="E12" s="58">
        <v>96651.78</v>
      </c>
      <c r="F12" s="58">
        <v>119761.2</v>
      </c>
      <c r="G12" s="58">
        <v>142454.81</v>
      </c>
      <c r="H12" s="58">
        <v>164733.44</v>
      </c>
      <c r="I12" s="58">
        <v>186603.79</v>
      </c>
      <c r="J12" s="58">
        <v>208067.1</v>
      </c>
      <c r="K12" s="58">
        <v>229105.83</v>
      </c>
      <c r="L12" s="58">
        <v>249708.69</v>
      </c>
      <c r="M12" s="58">
        <v>269871.92</v>
      </c>
      <c r="N12" s="58">
        <v>269871.92</v>
      </c>
      <c r="O12" s="58">
        <v>289599.69</v>
      </c>
      <c r="P12" s="58">
        <v>308905.8</v>
      </c>
      <c r="Q12" s="58">
        <v>327813.24</v>
      </c>
      <c r="R12" s="58">
        <v>346294</v>
      </c>
      <c r="S12" s="58">
        <v>364383.61</v>
      </c>
      <c r="T12" s="58">
        <v>382058.66</v>
      </c>
      <c r="U12" s="58">
        <v>399294.08</v>
      </c>
      <c r="V12" s="58">
        <v>416141.27</v>
      </c>
      <c r="W12" s="58">
        <v>407581.01</v>
      </c>
      <c r="X12" s="58">
        <v>398592.82</v>
      </c>
      <c r="Y12" s="58">
        <v>389155.38</v>
      </c>
      <c r="Z12" s="58">
        <v>379340.58</v>
      </c>
      <c r="AA12" s="58">
        <v>379340.58</v>
      </c>
      <c r="AB12" s="58">
        <v>369133.37</v>
      </c>
      <c r="AC12" s="58">
        <v>358517.87</v>
      </c>
      <c r="AD12" s="58">
        <v>347477.79</v>
      </c>
      <c r="AE12" s="58">
        <v>335995.99</v>
      </c>
      <c r="AF12" s="58">
        <v>324054.92</v>
      </c>
      <c r="AG12" s="58">
        <v>311636.19</v>
      </c>
      <c r="AH12" s="58">
        <v>298844.69</v>
      </c>
      <c r="AI12" s="58">
        <v>285669.56</v>
      </c>
      <c r="AJ12" s="58">
        <v>272099.09000000003</v>
      </c>
      <c r="AK12" s="58">
        <v>258121.59</v>
      </c>
      <c r="AL12" s="58">
        <v>243724.93</v>
      </c>
      <c r="AM12" s="58">
        <v>228896.17</v>
      </c>
      <c r="AN12" s="58">
        <v>228896.17</v>
      </c>
      <c r="AO12" s="58">
        <v>213622.34</v>
      </c>
      <c r="AP12" s="58">
        <v>197890.49</v>
      </c>
      <c r="AQ12" s="58">
        <v>181686.84</v>
      </c>
      <c r="AR12" s="58">
        <v>164835.01999999999</v>
      </c>
      <c r="AS12" s="58">
        <v>147309.13</v>
      </c>
      <c r="AT12" s="58">
        <v>129082</v>
      </c>
      <c r="AU12" s="58">
        <v>110125.64</v>
      </c>
      <c r="AV12" s="58">
        <v>90411.21</v>
      </c>
      <c r="AW12" s="58">
        <v>69908.2</v>
      </c>
      <c r="AX12" s="58">
        <v>48585.27</v>
      </c>
      <c r="AY12" s="58">
        <v>26409.41</v>
      </c>
      <c r="AZ12" s="58">
        <v>3346.34</v>
      </c>
      <c r="BA12" s="58">
        <v>3346.34</v>
      </c>
      <c r="BB12" s="58">
        <v>0</v>
      </c>
      <c r="BC12" s="58">
        <v>0</v>
      </c>
      <c r="BD12" s="58">
        <v>0</v>
      </c>
      <c r="BE12" s="58">
        <v>0</v>
      </c>
      <c r="BF12" s="58">
        <v>0</v>
      </c>
      <c r="BG12" s="58">
        <v>0</v>
      </c>
      <c r="BH12" s="58">
        <v>0</v>
      </c>
      <c r="BI12" s="58">
        <v>0</v>
      </c>
      <c r="BJ12" s="58">
        <v>0</v>
      </c>
      <c r="BK12" s="58">
        <v>0</v>
      </c>
      <c r="BL12" s="58">
        <v>0</v>
      </c>
      <c r="BM12" s="58">
        <v>0</v>
      </c>
      <c r="BN12" s="58">
        <v>0</v>
      </c>
      <c r="BO12" s="58">
        <v>0</v>
      </c>
      <c r="BP12" s="58">
        <v>0</v>
      </c>
      <c r="BQ12" s="58">
        <v>0</v>
      </c>
      <c r="BR12" s="58">
        <v>0</v>
      </c>
      <c r="BS12" s="58">
        <v>0</v>
      </c>
      <c r="BT12" s="58">
        <v>0</v>
      </c>
      <c r="BU12" s="58">
        <v>0</v>
      </c>
      <c r="BV12" s="58">
        <v>0</v>
      </c>
      <c r="BW12" s="58">
        <v>0</v>
      </c>
      <c r="BX12" s="58">
        <v>0</v>
      </c>
      <c r="BY12" s="58">
        <v>0</v>
      </c>
      <c r="BZ12" s="58">
        <v>0</v>
      </c>
      <c r="CA12" s="58">
        <v>0</v>
      </c>
      <c r="CB12" s="58">
        <v>0</v>
      </c>
      <c r="CC12" s="58">
        <v>0</v>
      </c>
      <c r="CD12" s="58">
        <v>0</v>
      </c>
      <c r="CE12" s="58">
        <v>0</v>
      </c>
      <c r="CF12" s="58">
        <v>0</v>
      </c>
      <c r="CG12" s="58">
        <v>0</v>
      </c>
      <c r="CH12" s="58">
        <v>0</v>
      </c>
      <c r="CI12" s="58">
        <v>0</v>
      </c>
      <c r="CJ12" s="58">
        <v>0</v>
      </c>
      <c r="CK12" s="58">
        <v>0</v>
      </c>
      <c r="CL12" s="58">
        <v>0</v>
      </c>
      <c r="CM12" s="58">
        <v>0</v>
      </c>
      <c r="CN12" s="58">
        <v>0</v>
      </c>
      <c r="CO12" s="58">
        <v>0</v>
      </c>
    </row>
    <row r="13" spans="1:93" ht="14.4" x14ac:dyDescent="0.3">
      <c r="A13" s="56" t="s">
        <v>265</v>
      </c>
      <c r="B13" s="58">
        <v>0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  <c r="AI13" s="58">
        <v>0</v>
      </c>
      <c r="AJ13" s="58">
        <v>0</v>
      </c>
      <c r="AK13" s="58">
        <v>0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v>0</v>
      </c>
      <c r="BI13" s="58">
        <v>0</v>
      </c>
      <c r="BJ13" s="58">
        <v>0</v>
      </c>
      <c r="BK13" s="58">
        <v>0</v>
      </c>
      <c r="BL13" s="58">
        <v>0</v>
      </c>
      <c r="BM13" s="58">
        <v>0</v>
      </c>
      <c r="BN13" s="58">
        <v>0</v>
      </c>
      <c r="BO13" s="58">
        <v>0</v>
      </c>
      <c r="BP13" s="58">
        <v>0</v>
      </c>
      <c r="BQ13" s="58">
        <v>0</v>
      </c>
      <c r="BR13" s="58">
        <v>0</v>
      </c>
      <c r="BS13" s="58">
        <v>0</v>
      </c>
      <c r="BT13" s="58">
        <v>0</v>
      </c>
      <c r="BU13" s="58">
        <v>0</v>
      </c>
      <c r="BV13" s="58">
        <v>0</v>
      </c>
      <c r="BW13" s="58">
        <v>0</v>
      </c>
      <c r="BX13" s="58">
        <v>0</v>
      </c>
      <c r="BY13" s="58">
        <v>0</v>
      </c>
      <c r="BZ13" s="58">
        <v>0</v>
      </c>
      <c r="CA13" s="58">
        <v>0</v>
      </c>
      <c r="CB13" s="58">
        <v>0</v>
      </c>
      <c r="CC13" s="58">
        <v>0</v>
      </c>
      <c r="CD13" s="58">
        <v>0</v>
      </c>
      <c r="CE13" s="58">
        <v>0</v>
      </c>
      <c r="CF13" s="58">
        <v>0</v>
      </c>
      <c r="CG13" s="58">
        <v>0</v>
      </c>
      <c r="CH13" s="58">
        <v>0</v>
      </c>
      <c r="CI13" s="58">
        <v>0</v>
      </c>
      <c r="CJ13" s="58">
        <v>0</v>
      </c>
      <c r="CK13" s="58">
        <v>0</v>
      </c>
      <c r="CL13" s="58">
        <v>0</v>
      </c>
      <c r="CM13" s="58">
        <v>0</v>
      </c>
      <c r="CN13" s="58">
        <v>0</v>
      </c>
      <c r="CO13" s="58">
        <v>0</v>
      </c>
    </row>
    <row r="14" spans="1:93" ht="14.4" x14ac:dyDescent="0.3">
      <c r="A14" s="56" t="s">
        <v>266</v>
      </c>
      <c r="B14" s="58">
        <v>0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  <c r="AI14" s="58">
        <v>0</v>
      </c>
      <c r="AJ14" s="58">
        <v>0</v>
      </c>
      <c r="AK14" s="58">
        <v>0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58">
        <v>0</v>
      </c>
      <c r="AS14" s="58">
        <v>0</v>
      </c>
      <c r="AT14" s="58">
        <v>0</v>
      </c>
      <c r="AU14" s="58">
        <v>0</v>
      </c>
      <c r="AV14" s="58">
        <v>0</v>
      </c>
      <c r="AW14" s="58">
        <v>0</v>
      </c>
      <c r="AX14" s="58">
        <v>0</v>
      </c>
      <c r="AY14" s="58">
        <v>0</v>
      </c>
      <c r="AZ14" s="58">
        <v>0</v>
      </c>
      <c r="BA14" s="58">
        <v>0</v>
      </c>
      <c r="BB14" s="58">
        <v>0</v>
      </c>
      <c r="BC14" s="58">
        <v>0</v>
      </c>
      <c r="BD14" s="58">
        <v>0</v>
      </c>
      <c r="BE14" s="58">
        <v>0</v>
      </c>
      <c r="BF14" s="58">
        <v>0</v>
      </c>
      <c r="BG14" s="58">
        <v>0</v>
      </c>
      <c r="BH14" s="58">
        <v>0</v>
      </c>
      <c r="BI14" s="58">
        <v>0</v>
      </c>
      <c r="BJ14" s="58">
        <v>0</v>
      </c>
      <c r="BK14" s="58">
        <v>0</v>
      </c>
      <c r="BL14" s="58">
        <v>0</v>
      </c>
      <c r="BM14" s="58">
        <v>0</v>
      </c>
      <c r="BN14" s="58">
        <v>0</v>
      </c>
      <c r="BO14" s="58">
        <v>0</v>
      </c>
      <c r="BP14" s="58">
        <v>0</v>
      </c>
      <c r="BQ14" s="58">
        <v>0</v>
      </c>
      <c r="BR14" s="58">
        <v>0</v>
      </c>
      <c r="BS14" s="58">
        <v>0</v>
      </c>
      <c r="BT14" s="58">
        <v>0</v>
      </c>
      <c r="BU14" s="58">
        <v>0</v>
      </c>
      <c r="BV14" s="58">
        <v>0</v>
      </c>
      <c r="BW14" s="58">
        <v>0</v>
      </c>
      <c r="BX14" s="58">
        <v>0</v>
      </c>
      <c r="BY14" s="58">
        <v>0</v>
      </c>
      <c r="BZ14" s="58">
        <v>0</v>
      </c>
      <c r="CA14" s="58">
        <v>0</v>
      </c>
      <c r="CB14" s="58">
        <v>0</v>
      </c>
      <c r="CC14" s="58">
        <v>0</v>
      </c>
      <c r="CD14" s="58">
        <v>0</v>
      </c>
      <c r="CE14" s="58">
        <v>0</v>
      </c>
      <c r="CF14" s="58">
        <v>0</v>
      </c>
      <c r="CG14" s="58">
        <v>0</v>
      </c>
      <c r="CH14" s="58">
        <v>0</v>
      </c>
      <c r="CI14" s="58">
        <v>0</v>
      </c>
      <c r="CJ14" s="58">
        <v>0</v>
      </c>
      <c r="CK14" s="58">
        <v>0</v>
      </c>
      <c r="CL14" s="58">
        <v>0</v>
      </c>
      <c r="CM14" s="58">
        <v>0</v>
      </c>
      <c r="CN14" s="58">
        <v>0</v>
      </c>
      <c r="CO14" s="58">
        <v>0</v>
      </c>
    </row>
    <row r="15" spans="1:93" ht="14.4" x14ac:dyDescent="0.3">
      <c r="A15" s="56" t="s">
        <v>261</v>
      </c>
      <c r="B15" s="58">
        <v>0</v>
      </c>
      <c r="C15" s="58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  <c r="AI15" s="58">
        <v>0</v>
      </c>
      <c r="AJ15" s="58">
        <v>0</v>
      </c>
      <c r="AK15" s="58">
        <v>0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58">
        <v>0</v>
      </c>
      <c r="AS15" s="58">
        <v>0</v>
      </c>
      <c r="AT15" s="58">
        <v>0</v>
      </c>
      <c r="AU15" s="58">
        <v>0</v>
      </c>
      <c r="AV15" s="58">
        <v>0</v>
      </c>
      <c r="AW15" s="58">
        <v>0</v>
      </c>
      <c r="AX15" s="58">
        <v>0</v>
      </c>
      <c r="AY15" s="58">
        <v>0</v>
      </c>
      <c r="AZ15" s="58">
        <v>0</v>
      </c>
      <c r="BA15" s="58">
        <v>0</v>
      </c>
      <c r="BB15" s="58">
        <v>0</v>
      </c>
      <c r="BC15" s="58">
        <v>0</v>
      </c>
      <c r="BD15" s="58">
        <v>0</v>
      </c>
      <c r="BE15" s="58">
        <v>0</v>
      </c>
      <c r="BF15" s="58">
        <v>0</v>
      </c>
      <c r="BG15" s="58">
        <v>0</v>
      </c>
      <c r="BH15" s="58">
        <v>0</v>
      </c>
      <c r="BI15" s="58">
        <v>0</v>
      </c>
      <c r="BJ15" s="58">
        <v>0</v>
      </c>
      <c r="BK15" s="58">
        <v>0</v>
      </c>
      <c r="BL15" s="58">
        <v>0</v>
      </c>
      <c r="BM15" s="58">
        <v>0</v>
      </c>
      <c r="BN15" s="58">
        <v>0</v>
      </c>
      <c r="BO15" s="58">
        <v>0</v>
      </c>
      <c r="BP15" s="58">
        <v>0</v>
      </c>
      <c r="BQ15" s="58">
        <v>0</v>
      </c>
      <c r="BR15" s="58">
        <v>0</v>
      </c>
      <c r="BS15" s="58">
        <v>0</v>
      </c>
      <c r="BT15" s="58">
        <v>0</v>
      </c>
      <c r="BU15" s="58">
        <v>0</v>
      </c>
      <c r="BV15" s="58">
        <v>0</v>
      </c>
      <c r="BW15" s="58">
        <v>0</v>
      </c>
      <c r="BX15" s="58">
        <v>0</v>
      </c>
      <c r="BY15" s="58">
        <v>0</v>
      </c>
      <c r="BZ15" s="58">
        <v>0</v>
      </c>
      <c r="CA15" s="58">
        <v>0</v>
      </c>
      <c r="CB15" s="58">
        <v>0</v>
      </c>
      <c r="CC15" s="58">
        <v>0</v>
      </c>
      <c r="CD15" s="58">
        <v>0</v>
      </c>
      <c r="CE15" s="58">
        <v>0</v>
      </c>
      <c r="CF15" s="58">
        <v>0</v>
      </c>
      <c r="CG15" s="58">
        <v>0</v>
      </c>
      <c r="CH15" s="58">
        <v>0</v>
      </c>
      <c r="CI15" s="58">
        <v>0</v>
      </c>
      <c r="CJ15" s="58">
        <v>0</v>
      </c>
      <c r="CK15" s="58">
        <v>0</v>
      </c>
      <c r="CL15" s="58">
        <v>0</v>
      </c>
      <c r="CM15" s="58">
        <v>0</v>
      </c>
      <c r="CN15" s="58">
        <v>0</v>
      </c>
      <c r="CO15" s="58">
        <v>0</v>
      </c>
    </row>
    <row r="16" spans="1:93" ht="14.4" x14ac:dyDescent="0.3">
      <c r="A16" s="56" t="s">
        <v>267</v>
      </c>
      <c r="B16" s="58">
        <v>24791.05</v>
      </c>
      <c r="C16" s="58">
        <v>49164.2</v>
      </c>
      <c r="D16" s="58">
        <v>73117.36</v>
      </c>
      <c r="E16" s="58">
        <v>96651.78</v>
      </c>
      <c r="F16" s="58">
        <v>119761.2</v>
      </c>
      <c r="G16" s="58">
        <v>142454.81</v>
      </c>
      <c r="H16" s="58">
        <v>164733.44</v>
      </c>
      <c r="I16" s="58">
        <v>186603.79</v>
      </c>
      <c r="J16" s="58">
        <v>208067.1</v>
      </c>
      <c r="K16" s="58">
        <v>229105.83</v>
      </c>
      <c r="L16" s="58">
        <v>249708.69</v>
      </c>
      <c r="M16" s="58">
        <v>269871.92</v>
      </c>
      <c r="N16" s="58">
        <v>269871.92</v>
      </c>
      <c r="O16" s="58">
        <v>289599.69</v>
      </c>
      <c r="P16" s="58">
        <v>308905.8</v>
      </c>
      <c r="Q16" s="58">
        <v>327813.24</v>
      </c>
      <c r="R16" s="58">
        <v>346294</v>
      </c>
      <c r="S16" s="58">
        <v>364383.61</v>
      </c>
      <c r="T16" s="58">
        <v>382058.66</v>
      </c>
      <c r="U16" s="58">
        <v>399294.08</v>
      </c>
      <c r="V16" s="58">
        <v>416141.27</v>
      </c>
      <c r="W16" s="58">
        <v>407581.01</v>
      </c>
      <c r="X16" s="58">
        <v>398592.82</v>
      </c>
      <c r="Y16" s="58">
        <v>389155.38</v>
      </c>
      <c r="Z16" s="58">
        <v>379340.58</v>
      </c>
      <c r="AA16" s="58">
        <v>379340.58</v>
      </c>
      <c r="AB16" s="58">
        <v>369133.37</v>
      </c>
      <c r="AC16" s="58">
        <v>358517.87</v>
      </c>
      <c r="AD16" s="58">
        <v>347477.79</v>
      </c>
      <c r="AE16" s="58">
        <v>335995.99</v>
      </c>
      <c r="AF16" s="58">
        <v>324054.92</v>
      </c>
      <c r="AG16" s="58">
        <v>311636.19</v>
      </c>
      <c r="AH16" s="58">
        <v>298844.69</v>
      </c>
      <c r="AI16" s="58">
        <v>285669.56</v>
      </c>
      <c r="AJ16" s="58">
        <v>272099.09000000003</v>
      </c>
      <c r="AK16" s="58">
        <v>258121.59</v>
      </c>
      <c r="AL16" s="58">
        <v>243724.93</v>
      </c>
      <c r="AM16" s="58">
        <v>228896.17</v>
      </c>
      <c r="AN16" s="58">
        <v>228896.17</v>
      </c>
      <c r="AO16" s="58">
        <v>213622.34</v>
      </c>
      <c r="AP16" s="58">
        <v>197890.49</v>
      </c>
      <c r="AQ16" s="58">
        <v>181686.84</v>
      </c>
      <c r="AR16" s="58">
        <v>164835.01999999999</v>
      </c>
      <c r="AS16" s="58">
        <v>147309.13</v>
      </c>
      <c r="AT16" s="58">
        <v>129082</v>
      </c>
      <c r="AU16" s="58">
        <v>110125.64</v>
      </c>
      <c r="AV16" s="58">
        <v>90411.21</v>
      </c>
      <c r="AW16" s="58">
        <v>69908.2</v>
      </c>
      <c r="AX16" s="58">
        <v>48585.27</v>
      </c>
      <c r="AY16" s="58">
        <v>26409.41</v>
      </c>
      <c r="AZ16" s="58">
        <v>3346.34</v>
      </c>
      <c r="BA16" s="58">
        <v>3346.34</v>
      </c>
      <c r="BB16" s="58">
        <v>0</v>
      </c>
      <c r="BC16" s="58">
        <v>0</v>
      </c>
      <c r="BD16" s="58">
        <v>0</v>
      </c>
      <c r="BE16" s="58">
        <v>0</v>
      </c>
      <c r="BF16" s="58">
        <v>0</v>
      </c>
      <c r="BG16" s="58">
        <v>0</v>
      </c>
      <c r="BH16" s="58">
        <v>0</v>
      </c>
      <c r="BI16" s="58">
        <v>0</v>
      </c>
      <c r="BJ16" s="58">
        <v>0</v>
      </c>
      <c r="BK16" s="58">
        <v>0</v>
      </c>
      <c r="BL16" s="58">
        <v>0</v>
      </c>
      <c r="BM16" s="58">
        <v>0</v>
      </c>
      <c r="BN16" s="58">
        <v>0</v>
      </c>
      <c r="BO16" s="58">
        <v>0</v>
      </c>
      <c r="BP16" s="58">
        <v>0</v>
      </c>
      <c r="BQ16" s="58">
        <v>0</v>
      </c>
      <c r="BR16" s="58">
        <v>0</v>
      </c>
      <c r="BS16" s="58">
        <v>0</v>
      </c>
      <c r="BT16" s="58">
        <v>0</v>
      </c>
      <c r="BU16" s="58">
        <v>0</v>
      </c>
      <c r="BV16" s="58">
        <v>0</v>
      </c>
      <c r="BW16" s="58">
        <v>0</v>
      </c>
      <c r="BX16" s="58">
        <v>0</v>
      </c>
      <c r="BY16" s="58">
        <v>0</v>
      </c>
      <c r="BZ16" s="58">
        <v>0</v>
      </c>
      <c r="CA16" s="58">
        <v>0</v>
      </c>
      <c r="CB16" s="58">
        <v>0</v>
      </c>
      <c r="CC16" s="58">
        <v>0</v>
      </c>
      <c r="CD16" s="58">
        <v>0</v>
      </c>
      <c r="CE16" s="58">
        <v>0</v>
      </c>
      <c r="CF16" s="58">
        <v>0</v>
      </c>
      <c r="CG16" s="58">
        <v>0</v>
      </c>
      <c r="CH16" s="58">
        <v>0</v>
      </c>
      <c r="CI16" s="58">
        <v>0</v>
      </c>
      <c r="CJ16" s="58">
        <v>0</v>
      </c>
      <c r="CK16" s="58">
        <v>0</v>
      </c>
      <c r="CL16" s="58">
        <v>0</v>
      </c>
      <c r="CM16" s="58">
        <v>0</v>
      </c>
      <c r="CN16" s="58">
        <v>0</v>
      </c>
      <c r="CO16" s="58">
        <v>0</v>
      </c>
    </row>
    <row r="17" spans="1:93" ht="14.4" x14ac:dyDescent="0.3">
      <c r="A17" s="56" t="s">
        <v>266</v>
      </c>
      <c r="B17" s="58">
        <v>24791.05</v>
      </c>
      <c r="C17" s="58">
        <v>49164.2</v>
      </c>
      <c r="D17" s="58">
        <v>73117.36</v>
      </c>
      <c r="E17" s="58">
        <v>96651.78</v>
      </c>
      <c r="F17" s="58">
        <v>119761.2</v>
      </c>
      <c r="G17" s="58">
        <v>142454.81</v>
      </c>
      <c r="H17" s="58">
        <v>164733.44</v>
      </c>
      <c r="I17" s="58">
        <v>186603.79</v>
      </c>
      <c r="J17" s="58">
        <v>208067.1</v>
      </c>
      <c r="K17" s="58">
        <v>229105.83</v>
      </c>
      <c r="L17" s="58">
        <v>249708.69</v>
      </c>
      <c r="M17" s="58">
        <v>269871.92</v>
      </c>
      <c r="N17" s="58">
        <v>269871.92</v>
      </c>
      <c r="O17" s="58">
        <v>289599.69</v>
      </c>
      <c r="P17" s="58">
        <v>308905.8</v>
      </c>
      <c r="Q17" s="58">
        <v>327813.24</v>
      </c>
      <c r="R17" s="58">
        <v>346294</v>
      </c>
      <c r="S17" s="58">
        <v>364383.61</v>
      </c>
      <c r="T17" s="58">
        <v>382058.66</v>
      </c>
      <c r="U17" s="58">
        <v>399294.08</v>
      </c>
      <c r="V17" s="58">
        <v>416141.27</v>
      </c>
      <c r="W17" s="58">
        <v>407581.01</v>
      </c>
      <c r="X17" s="58">
        <v>398592.82</v>
      </c>
      <c r="Y17" s="58">
        <v>389155.38</v>
      </c>
      <c r="Z17" s="58">
        <v>379340.58</v>
      </c>
      <c r="AA17" s="58">
        <v>379340.58</v>
      </c>
      <c r="AB17" s="58">
        <v>369133.37</v>
      </c>
      <c r="AC17" s="58">
        <v>358517.87</v>
      </c>
      <c r="AD17" s="58">
        <v>347477.79</v>
      </c>
      <c r="AE17" s="58">
        <v>335995.99</v>
      </c>
      <c r="AF17" s="58">
        <v>324054.92</v>
      </c>
      <c r="AG17" s="58">
        <v>311636.19</v>
      </c>
      <c r="AH17" s="58">
        <v>298844.69</v>
      </c>
      <c r="AI17" s="58">
        <v>285669.56</v>
      </c>
      <c r="AJ17" s="58">
        <v>272099.09000000003</v>
      </c>
      <c r="AK17" s="58">
        <v>258121.59</v>
      </c>
      <c r="AL17" s="58">
        <v>243724.93</v>
      </c>
      <c r="AM17" s="58">
        <v>228896.17</v>
      </c>
      <c r="AN17" s="58">
        <v>228896.17</v>
      </c>
      <c r="AO17" s="58">
        <v>213622.34</v>
      </c>
      <c r="AP17" s="58">
        <v>197890.49</v>
      </c>
      <c r="AQ17" s="58">
        <v>181686.84</v>
      </c>
      <c r="AR17" s="58">
        <v>164835.01999999999</v>
      </c>
      <c r="AS17" s="58">
        <v>147309.13</v>
      </c>
      <c r="AT17" s="58">
        <v>129082</v>
      </c>
      <c r="AU17" s="58">
        <v>110125.64</v>
      </c>
      <c r="AV17" s="58">
        <v>90411.21</v>
      </c>
      <c r="AW17" s="58">
        <v>69908.2</v>
      </c>
      <c r="AX17" s="58">
        <v>48585.27</v>
      </c>
      <c r="AY17" s="58">
        <v>26409.41</v>
      </c>
      <c r="AZ17" s="58">
        <v>3346.34</v>
      </c>
      <c r="BA17" s="58">
        <v>3346.34</v>
      </c>
      <c r="BB17" s="58">
        <v>0</v>
      </c>
      <c r="BC17" s="58">
        <v>0</v>
      </c>
      <c r="BD17" s="58">
        <v>0</v>
      </c>
      <c r="BE17" s="58">
        <v>0</v>
      </c>
      <c r="BF17" s="58">
        <v>0</v>
      </c>
      <c r="BG17" s="58">
        <v>0</v>
      </c>
      <c r="BH17" s="58">
        <v>0</v>
      </c>
      <c r="BI17" s="58">
        <v>0</v>
      </c>
      <c r="BJ17" s="58">
        <v>0</v>
      </c>
      <c r="BK17" s="58">
        <v>0</v>
      </c>
      <c r="BL17" s="58">
        <v>0</v>
      </c>
      <c r="BM17" s="58">
        <v>0</v>
      </c>
      <c r="BN17" s="58">
        <v>0</v>
      </c>
      <c r="BO17" s="58">
        <v>0</v>
      </c>
      <c r="BP17" s="58">
        <v>0</v>
      </c>
      <c r="BQ17" s="58">
        <v>0</v>
      </c>
      <c r="BR17" s="58">
        <v>0</v>
      </c>
      <c r="BS17" s="58">
        <v>0</v>
      </c>
      <c r="BT17" s="58">
        <v>0</v>
      </c>
      <c r="BU17" s="58">
        <v>0</v>
      </c>
      <c r="BV17" s="58">
        <v>0</v>
      </c>
      <c r="BW17" s="58">
        <v>0</v>
      </c>
      <c r="BX17" s="58">
        <v>0</v>
      </c>
      <c r="BY17" s="58">
        <v>0</v>
      </c>
      <c r="BZ17" s="58">
        <v>0</v>
      </c>
      <c r="CA17" s="58">
        <v>0</v>
      </c>
      <c r="CB17" s="58">
        <v>0</v>
      </c>
      <c r="CC17" s="58">
        <v>0</v>
      </c>
      <c r="CD17" s="58">
        <v>0</v>
      </c>
      <c r="CE17" s="58">
        <v>0</v>
      </c>
      <c r="CF17" s="58">
        <v>0</v>
      </c>
      <c r="CG17" s="58">
        <v>0</v>
      </c>
      <c r="CH17" s="58">
        <v>0</v>
      </c>
      <c r="CI17" s="58">
        <v>0</v>
      </c>
      <c r="CJ17" s="58">
        <v>0</v>
      </c>
      <c r="CK17" s="58">
        <v>0</v>
      </c>
      <c r="CL17" s="58">
        <v>0</v>
      </c>
      <c r="CM17" s="58">
        <v>0</v>
      </c>
      <c r="CN17" s="58">
        <v>0</v>
      </c>
      <c r="CO17" s="58">
        <v>0</v>
      </c>
    </row>
    <row r="18" spans="1:93" ht="14.4" x14ac:dyDescent="0.3">
      <c r="A18" s="56" t="s">
        <v>261</v>
      </c>
      <c r="B18" s="58">
        <v>24791.05</v>
      </c>
      <c r="C18" s="58">
        <v>49164.2</v>
      </c>
      <c r="D18" s="58">
        <v>73117.36</v>
      </c>
      <c r="E18" s="58">
        <v>96651.78</v>
      </c>
      <c r="F18" s="58">
        <v>119761.2</v>
      </c>
      <c r="G18" s="58">
        <v>142454.81</v>
      </c>
      <c r="H18" s="58">
        <v>164733.44</v>
      </c>
      <c r="I18" s="58">
        <v>186603.79</v>
      </c>
      <c r="J18" s="58">
        <v>208067.1</v>
      </c>
      <c r="K18" s="58">
        <v>229105.83</v>
      </c>
      <c r="L18" s="58">
        <v>249708.69</v>
      </c>
      <c r="M18" s="58">
        <v>269871.92</v>
      </c>
      <c r="N18" s="58">
        <v>269871.92</v>
      </c>
      <c r="O18" s="58">
        <v>289599.69</v>
      </c>
      <c r="P18" s="58">
        <v>308905.8</v>
      </c>
      <c r="Q18" s="58">
        <v>327813.24</v>
      </c>
      <c r="R18" s="58">
        <v>346294</v>
      </c>
      <c r="S18" s="58">
        <v>364383.61</v>
      </c>
      <c r="T18" s="58">
        <v>382058.66</v>
      </c>
      <c r="U18" s="58">
        <v>399294.08</v>
      </c>
      <c r="V18" s="58">
        <v>416141.27</v>
      </c>
      <c r="W18" s="58">
        <v>407581.01</v>
      </c>
      <c r="X18" s="58">
        <v>398592.82</v>
      </c>
      <c r="Y18" s="58">
        <v>389155.38</v>
      </c>
      <c r="Z18" s="58">
        <v>379340.58</v>
      </c>
      <c r="AA18" s="58">
        <v>379340.58</v>
      </c>
      <c r="AB18" s="58">
        <v>369133.37</v>
      </c>
      <c r="AC18" s="58">
        <v>358517.87</v>
      </c>
      <c r="AD18" s="58">
        <v>347477.79</v>
      </c>
      <c r="AE18" s="58">
        <v>335995.99</v>
      </c>
      <c r="AF18" s="58">
        <v>324054.92</v>
      </c>
      <c r="AG18" s="58">
        <v>311636.19</v>
      </c>
      <c r="AH18" s="58">
        <v>298844.69</v>
      </c>
      <c r="AI18" s="58">
        <v>285669.56</v>
      </c>
      <c r="AJ18" s="58">
        <v>272099.09000000003</v>
      </c>
      <c r="AK18" s="58">
        <v>258121.59</v>
      </c>
      <c r="AL18" s="58">
        <v>243724.93</v>
      </c>
      <c r="AM18" s="58">
        <v>228896.17</v>
      </c>
      <c r="AN18" s="58">
        <v>228896.17</v>
      </c>
      <c r="AO18" s="58">
        <v>213622.34</v>
      </c>
      <c r="AP18" s="58">
        <v>197890.49</v>
      </c>
      <c r="AQ18" s="58">
        <v>181686.84</v>
      </c>
      <c r="AR18" s="58">
        <v>164835.01999999999</v>
      </c>
      <c r="AS18" s="58">
        <v>147309.13</v>
      </c>
      <c r="AT18" s="58">
        <v>129082</v>
      </c>
      <c r="AU18" s="58">
        <v>110125.64</v>
      </c>
      <c r="AV18" s="58">
        <v>90411.21</v>
      </c>
      <c r="AW18" s="58">
        <v>69908.2</v>
      </c>
      <c r="AX18" s="58">
        <v>48585.27</v>
      </c>
      <c r="AY18" s="58">
        <v>26409.41</v>
      </c>
      <c r="AZ18" s="58">
        <v>3346.34</v>
      </c>
      <c r="BA18" s="58">
        <v>3346.34</v>
      </c>
      <c r="BB18" s="58">
        <v>0</v>
      </c>
      <c r="BC18" s="58">
        <v>0</v>
      </c>
      <c r="BD18" s="58">
        <v>0</v>
      </c>
      <c r="BE18" s="58">
        <v>0</v>
      </c>
      <c r="BF18" s="58">
        <v>0</v>
      </c>
      <c r="BG18" s="58">
        <v>0</v>
      </c>
      <c r="BH18" s="58">
        <v>0</v>
      </c>
      <c r="BI18" s="58">
        <v>0</v>
      </c>
      <c r="BJ18" s="58">
        <v>0</v>
      </c>
      <c r="BK18" s="58">
        <v>0</v>
      </c>
      <c r="BL18" s="58">
        <v>0</v>
      </c>
      <c r="BM18" s="58">
        <v>0</v>
      </c>
      <c r="BN18" s="58">
        <v>0</v>
      </c>
      <c r="BO18" s="58">
        <v>0</v>
      </c>
      <c r="BP18" s="58">
        <v>0</v>
      </c>
      <c r="BQ18" s="58">
        <v>0</v>
      </c>
      <c r="BR18" s="58">
        <v>0</v>
      </c>
      <c r="BS18" s="58">
        <v>0</v>
      </c>
      <c r="BT18" s="58">
        <v>0</v>
      </c>
      <c r="BU18" s="58">
        <v>0</v>
      </c>
      <c r="BV18" s="58">
        <v>0</v>
      </c>
      <c r="BW18" s="58">
        <v>0</v>
      </c>
      <c r="BX18" s="58">
        <v>0</v>
      </c>
      <c r="BY18" s="58">
        <v>0</v>
      </c>
      <c r="BZ18" s="58">
        <v>0</v>
      </c>
      <c r="CA18" s="58">
        <v>0</v>
      </c>
      <c r="CB18" s="58">
        <v>0</v>
      </c>
      <c r="CC18" s="58">
        <v>0</v>
      </c>
      <c r="CD18" s="58">
        <v>0</v>
      </c>
      <c r="CE18" s="58">
        <v>0</v>
      </c>
      <c r="CF18" s="58">
        <v>0</v>
      </c>
      <c r="CG18" s="58">
        <v>0</v>
      </c>
      <c r="CH18" s="58">
        <v>0</v>
      </c>
      <c r="CI18" s="58">
        <v>0</v>
      </c>
      <c r="CJ18" s="58">
        <v>0</v>
      </c>
      <c r="CK18" s="58">
        <v>0</v>
      </c>
      <c r="CL18" s="58">
        <v>0</v>
      </c>
      <c r="CM18" s="58">
        <v>0</v>
      </c>
      <c r="CN18" s="58">
        <v>0</v>
      </c>
      <c r="CO18" s="58">
        <v>0</v>
      </c>
    </row>
    <row r="21" spans="1:93" ht="15.75" customHeight="1" x14ac:dyDescent="0.3"/>
    <row r="22" spans="1:93" ht="15.75" customHeight="1" x14ac:dyDescent="0.3"/>
    <row r="23" spans="1:93" ht="15.75" customHeight="1" x14ac:dyDescent="0.3"/>
    <row r="24" spans="1:93" ht="15.75" customHeight="1" x14ac:dyDescent="0.3"/>
    <row r="25" spans="1:93" ht="15.75" customHeight="1" x14ac:dyDescent="0.3"/>
    <row r="26" spans="1:93" ht="15.75" customHeight="1" x14ac:dyDescent="0.3"/>
    <row r="27" spans="1:93" ht="15.75" customHeight="1" x14ac:dyDescent="0.3"/>
    <row r="28" spans="1:93" ht="15.75" customHeight="1" x14ac:dyDescent="0.3"/>
    <row r="29" spans="1:93" ht="15.75" customHeight="1" x14ac:dyDescent="0.3"/>
    <row r="30" spans="1:93" ht="15.75" customHeight="1" x14ac:dyDescent="0.3"/>
    <row r="31" spans="1:93" ht="15.75" customHeight="1" x14ac:dyDescent="0.3"/>
    <row r="32" spans="1:9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268</v>
      </c>
      <c r="B2" s="58">
        <v>0</v>
      </c>
      <c r="C2" s="58">
        <v>0</v>
      </c>
      <c r="D2" s="58">
        <v>0</v>
      </c>
      <c r="E2" s="58">
        <v>0</v>
      </c>
      <c r="F2" s="58">
        <v>0</v>
      </c>
      <c r="G2" s="58">
        <v>0</v>
      </c>
      <c r="H2" s="58">
        <v>0</v>
      </c>
      <c r="I2" s="58">
        <v>0</v>
      </c>
      <c r="J2" s="58">
        <v>0</v>
      </c>
      <c r="K2" s="58">
        <v>0</v>
      </c>
      <c r="L2" s="58">
        <v>0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0</v>
      </c>
      <c r="S2" s="58">
        <v>0</v>
      </c>
      <c r="T2" s="58">
        <v>0</v>
      </c>
      <c r="U2" s="58">
        <v>0</v>
      </c>
      <c r="V2" s="58">
        <v>0</v>
      </c>
      <c r="W2" s="58">
        <v>0</v>
      </c>
      <c r="X2" s="58">
        <v>0</v>
      </c>
      <c r="Y2" s="58">
        <v>0</v>
      </c>
      <c r="Z2" s="58">
        <v>0</v>
      </c>
      <c r="AA2" s="58">
        <v>0</v>
      </c>
      <c r="AB2" s="58">
        <v>0</v>
      </c>
      <c r="AC2" s="58">
        <v>0</v>
      </c>
      <c r="AD2" s="58">
        <v>0</v>
      </c>
      <c r="AE2" s="58">
        <v>0</v>
      </c>
      <c r="AF2" s="58">
        <v>0</v>
      </c>
      <c r="AG2" s="58">
        <v>0</v>
      </c>
      <c r="AH2" s="58">
        <v>0</v>
      </c>
      <c r="AI2" s="58">
        <v>0</v>
      </c>
      <c r="AJ2" s="58">
        <v>0</v>
      </c>
      <c r="AK2" s="58">
        <v>0</v>
      </c>
      <c r="AL2" s="58">
        <v>0</v>
      </c>
      <c r="AM2" s="58">
        <v>0</v>
      </c>
      <c r="AN2" s="58">
        <v>0</v>
      </c>
      <c r="AO2" s="58">
        <v>0</v>
      </c>
      <c r="AP2" s="58">
        <v>0</v>
      </c>
      <c r="AQ2" s="58">
        <v>0</v>
      </c>
      <c r="AR2" s="58">
        <v>0</v>
      </c>
      <c r="AS2" s="58">
        <v>0</v>
      </c>
      <c r="AT2" s="58">
        <v>0</v>
      </c>
      <c r="AU2" s="58">
        <v>0</v>
      </c>
      <c r="AV2" s="58">
        <v>0</v>
      </c>
      <c r="AW2" s="58">
        <v>0</v>
      </c>
      <c r="AX2" s="58">
        <v>0</v>
      </c>
      <c r="AY2" s="58">
        <v>0</v>
      </c>
      <c r="AZ2" s="58">
        <v>0</v>
      </c>
      <c r="BA2" s="58">
        <v>0</v>
      </c>
      <c r="BB2" s="58">
        <v>0</v>
      </c>
      <c r="BC2" s="58">
        <v>0</v>
      </c>
      <c r="BD2" s="58">
        <v>0</v>
      </c>
      <c r="BE2" s="58">
        <v>0</v>
      </c>
      <c r="BF2" s="58">
        <v>0</v>
      </c>
      <c r="BG2" s="58">
        <v>0</v>
      </c>
      <c r="BH2" s="58">
        <v>0</v>
      </c>
      <c r="BI2" s="58">
        <v>0</v>
      </c>
      <c r="BJ2" s="58">
        <v>0</v>
      </c>
      <c r="BK2" s="58">
        <v>0</v>
      </c>
      <c r="BL2" s="58">
        <v>0</v>
      </c>
      <c r="BM2" s="58">
        <v>0</v>
      </c>
      <c r="BN2" s="58">
        <v>0</v>
      </c>
      <c r="BO2" s="58">
        <v>0</v>
      </c>
      <c r="BP2" s="58">
        <v>0</v>
      </c>
      <c r="BQ2" s="58">
        <v>0</v>
      </c>
      <c r="BR2" s="58">
        <v>0</v>
      </c>
      <c r="BS2" s="58">
        <v>0</v>
      </c>
      <c r="BT2" s="58">
        <v>0</v>
      </c>
      <c r="BU2" s="58">
        <v>0</v>
      </c>
      <c r="BV2" s="58">
        <v>0</v>
      </c>
      <c r="BW2" s="58">
        <v>0</v>
      </c>
      <c r="BX2" s="58">
        <v>0</v>
      </c>
      <c r="BY2" s="58">
        <v>0</v>
      </c>
      <c r="BZ2" s="58">
        <v>0</v>
      </c>
      <c r="CA2" s="58">
        <v>0</v>
      </c>
      <c r="CB2" s="58">
        <v>0</v>
      </c>
      <c r="CC2" s="58">
        <v>0</v>
      </c>
      <c r="CD2" s="58">
        <v>0</v>
      </c>
      <c r="CE2" s="58">
        <v>0</v>
      </c>
      <c r="CF2" s="58">
        <v>0</v>
      </c>
      <c r="CG2" s="58">
        <v>0</v>
      </c>
      <c r="CH2" s="58">
        <v>0</v>
      </c>
      <c r="CI2" s="58">
        <v>0</v>
      </c>
      <c r="CJ2" s="58">
        <v>0</v>
      </c>
      <c r="CK2" s="58">
        <v>0</v>
      </c>
      <c r="CL2" s="58">
        <v>0</v>
      </c>
      <c r="CM2" s="58">
        <v>0</v>
      </c>
      <c r="CN2" s="58">
        <v>0</v>
      </c>
      <c r="CO2" s="58">
        <v>0</v>
      </c>
    </row>
    <row r="3" spans="1:93" ht="14.4" x14ac:dyDescent="0.3">
      <c r="A3" s="56" t="s">
        <v>169</v>
      </c>
    </row>
    <row r="4" spans="1:93" ht="14.4" x14ac:dyDescent="0.3">
      <c r="A4" s="56" t="s">
        <v>269</v>
      </c>
      <c r="B4" s="58">
        <v>0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0</v>
      </c>
      <c r="U4" s="58">
        <v>0</v>
      </c>
      <c r="V4" s="58">
        <v>0</v>
      </c>
      <c r="W4" s="58">
        <v>0</v>
      </c>
      <c r="X4" s="58">
        <v>0</v>
      </c>
      <c r="Y4" s="58">
        <v>0</v>
      </c>
      <c r="Z4" s="58">
        <v>0</v>
      </c>
      <c r="AA4" s="58">
        <v>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0</v>
      </c>
      <c r="AW4" s="58">
        <v>0</v>
      </c>
      <c r="AX4" s="58">
        <v>0</v>
      </c>
      <c r="AY4" s="58">
        <v>0</v>
      </c>
      <c r="AZ4" s="58">
        <v>0</v>
      </c>
      <c r="BA4" s="58">
        <v>0</v>
      </c>
      <c r="BB4" s="58">
        <v>0</v>
      </c>
      <c r="BC4" s="58">
        <v>0</v>
      </c>
      <c r="BD4" s="58">
        <v>0</v>
      </c>
      <c r="BE4" s="58">
        <v>0</v>
      </c>
      <c r="BF4" s="58">
        <v>0</v>
      </c>
      <c r="BG4" s="58">
        <v>0</v>
      </c>
      <c r="BH4" s="58">
        <v>0</v>
      </c>
      <c r="BI4" s="58">
        <v>0</v>
      </c>
      <c r="BJ4" s="58">
        <v>0</v>
      </c>
      <c r="BK4" s="58">
        <v>0</v>
      </c>
      <c r="BL4" s="58">
        <v>0</v>
      </c>
      <c r="BM4" s="58">
        <v>0</v>
      </c>
      <c r="BN4" s="58">
        <v>0</v>
      </c>
      <c r="BO4" s="58">
        <v>0</v>
      </c>
      <c r="BP4" s="58">
        <v>0</v>
      </c>
      <c r="BQ4" s="58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0</v>
      </c>
      <c r="BX4" s="58">
        <v>0</v>
      </c>
      <c r="BY4" s="58">
        <v>0</v>
      </c>
      <c r="BZ4" s="58">
        <v>0</v>
      </c>
      <c r="CA4" s="58">
        <v>0</v>
      </c>
      <c r="CB4" s="58">
        <v>0</v>
      </c>
      <c r="CC4" s="58">
        <v>0</v>
      </c>
      <c r="CD4" s="58">
        <v>0</v>
      </c>
      <c r="CE4" s="58">
        <v>0</v>
      </c>
      <c r="CF4" s="58">
        <v>0</v>
      </c>
      <c r="CG4" s="58">
        <v>0</v>
      </c>
      <c r="CH4" s="58">
        <v>0</v>
      </c>
      <c r="CI4" s="58">
        <v>0</v>
      </c>
      <c r="CJ4" s="58">
        <v>0</v>
      </c>
      <c r="CK4" s="58">
        <v>0</v>
      </c>
      <c r="CL4" s="58">
        <v>0</v>
      </c>
      <c r="CM4" s="58">
        <v>0</v>
      </c>
      <c r="CN4" s="58">
        <v>0</v>
      </c>
      <c r="CO4" s="58">
        <v>0</v>
      </c>
    </row>
    <row r="5" spans="1:93" ht="14.4" x14ac:dyDescent="0.3">
      <c r="A5" s="56" t="s">
        <v>169</v>
      </c>
    </row>
    <row r="6" spans="1:93" ht="14.4" x14ac:dyDescent="0.3">
      <c r="A6" s="56" t="s">
        <v>270</v>
      </c>
      <c r="B6" s="58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58">
        <v>0</v>
      </c>
      <c r="AZ6" s="58">
        <v>0</v>
      </c>
      <c r="BA6" s="58">
        <v>0</v>
      </c>
      <c r="BB6" s="58">
        <v>0</v>
      </c>
      <c r="BC6" s="58">
        <v>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8">
        <v>0</v>
      </c>
      <c r="BZ6" s="58">
        <v>0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0</v>
      </c>
      <c r="CM6" s="58">
        <v>0</v>
      </c>
      <c r="CN6" s="58">
        <v>0</v>
      </c>
      <c r="CO6" s="58">
        <v>0</v>
      </c>
    </row>
    <row r="7" spans="1:93" ht="14.4" x14ac:dyDescent="0.3">
      <c r="A7" s="56" t="s">
        <v>271</v>
      </c>
      <c r="B7" s="58">
        <v>0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  <c r="AI7" s="58">
        <v>0</v>
      </c>
      <c r="AJ7" s="58">
        <v>0</v>
      </c>
      <c r="AK7" s="58">
        <v>0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58">
        <v>0</v>
      </c>
      <c r="AX7" s="58">
        <v>0</v>
      </c>
      <c r="AY7" s="58">
        <v>0</v>
      </c>
      <c r="AZ7" s="58">
        <v>0</v>
      </c>
      <c r="BA7" s="58">
        <v>0</v>
      </c>
      <c r="BB7" s="58">
        <v>0</v>
      </c>
      <c r="BC7" s="58">
        <v>0</v>
      </c>
      <c r="BD7" s="58">
        <v>0</v>
      </c>
      <c r="BE7" s="58">
        <v>0</v>
      </c>
      <c r="BF7" s="58">
        <v>0</v>
      </c>
      <c r="BG7" s="58">
        <v>0</v>
      </c>
      <c r="BH7" s="58">
        <v>0</v>
      </c>
      <c r="BI7" s="58">
        <v>0</v>
      </c>
      <c r="BJ7" s="58">
        <v>0</v>
      </c>
      <c r="BK7" s="58">
        <v>0</v>
      </c>
      <c r="BL7" s="58">
        <v>0</v>
      </c>
      <c r="BM7" s="58">
        <v>0</v>
      </c>
      <c r="BN7" s="58">
        <v>0</v>
      </c>
      <c r="BO7" s="58">
        <v>0</v>
      </c>
      <c r="BP7" s="58">
        <v>0</v>
      </c>
      <c r="BQ7" s="58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0</v>
      </c>
      <c r="BX7" s="58">
        <v>0</v>
      </c>
      <c r="BY7" s="58">
        <v>0</v>
      </c>
      <c r="BZ7" s="58">
        <v>0</v>
      </c>
      <c r="CA7" s="58">
        <v>0</v>
      </c>
      <c r="CB7" s="58">
        <v>0</v>
      </c>
      <c r="CC7" s="58">
        <v>0</v>
      </c>
      <c r="CD7" s="58">
        <v>0</v>
      </c>
      <c r="CE7" s="58">
        <v>0</v>
      </c>
      <c r="CF7" s="58">
        <v>0</v>
      </c>
      <c r="CG7" s="58">
        <v>0</v>
      </c>
      <c r="CH7" s="58">
        <v>0</v>
      </c>
      <c r="CI7" s="58">
        <v>0</v>
      </c>
      <c r="CJ7" s="58">
        <v>0</v>
      </c>
      <c r="CK7" s="58">
        <v>0</v>
      </c>
      <c r="CL7" s="58">
        <v>0</v>
      </c>
      <c r="CM7" s="58">
        <v>0</v>
      </c>
      <c r="CN7" s="58">
        <v>0</v>
      </c>
      <c r="CO7" s="58">
        <v>0</v>
      </c>
    </row>
    <row r="8" spans="1:93" ht="14.4" x14ac:dyDescent="0.3">
      <c r="A8" s="56" t="s">
        <v>272</v>
      </c>
      <c r="B8" s="58">
        <v>0</v>
      </c>
      <c r="C8" s="58">
        <v>0</v>
      </c>
      <c r="D8" s="58">
        <v>0</v>
      </c>
      <c r="E8" s="58">
        <v>0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58">
        <v>0</v>
      </c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  <c r="AY8" s="58">
        <v>0</v>
      </c>
      <c r="AZ8" s="58">
        <v>0</v>
      </c>
      <c r="BA8" s="58">
        <v>0</v>
      </c>
      <c r="BB8" s="58">
        <v>0</v>
      </c>
      <c r="BC8" s="58">
        <v>0</v>
      </c>
      <c r="BD8" s="58">
        <v>0</v>
      </c>
      <c r="BE8" s="58">
        <v>0</v>
      </c>
      <c r="BF8" s="58">
        <v>0</v>
      </c>
      <c r="BG8" s="58">
        <v>0</v>
      </c>
      <c r="BH8" s="58">
        <v>0</v>
      </c>
      <c r="BI8" s="58">
        <v>0</v>
      </c>
      <c r="BJ8" s="58">
        <v>0</v>
      </c>
      <c r="BK8" s="58">
        <v>0</v>
      </c>
      <c r="BL8" s="58">
        <v>0</v>
      </c>
      <c r="BM8" s="58">
        <v>0</v>
      </c>
      <c r="BN8" s="58">
        <v>0</v>
      </c>
      <c r="BO8" s="58">
        <v>0</v>
      </c>
      <c r="BP8" s="58">
        <v>0</v>
      </c>
      <c r="BQ8" s="58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0</v>
      </c>
      <c r="BX8" s="58">
        <v>0</v>
      </c>
      <c r="BY8" s="58">
        <v>0</v>
      </c>
      <c r="BZ8" s="58">
        <v>0</v>
      </c>
      <c r="CA8" s="58">
        <v>0</v>
      </c>
      <c r="CB8" s="58">
        <v>0</v>
      </c>
      <c r="CC8" s="58">
        <v>0</v>
      </c>
      <c r="CD8" s="58">
        <v>0</v>
      </c>
      <c r="CE8" s="58">
        <v>0</v>
      </c>
      <c r="CF8" s="58">
        <v>0</v>
      </c>
      <c r="CG8" s="58">
        <v>0</v>
      </c>
      <c r="CH8" s="58">
        <v>0</v>
      </c>
      <c r="CI8" s="58">
        <v>0</v>
      </c>
      <c r="CJ8" s="58">
        <v>0</v>
      </c>
      <c r="CK8" s="58">
        <v>0</v>
      </c>
      <c r="CL8" s="58">
        <v>0</v>
      </c>
      <c r="CM8" s="58">
        <v>0</v>
      </c>
      <c r="CN8" s="58">
        <v>0</v>
      </c>
      <c r="CO8" s="5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273</v>
      </c>
      <c r="B2" s="58">
        <v>0</v>
      </c>
      <c r="C2" s="58">
        <v>0</v>
      </c>
      <c r="D2" s="58">
        <v>0</v>
      </c>
      <c r="E2" s="58">
        <v>0</v>
      </c>
      <c r="F2" s="58">
        <v>0</v>
      </c>
      <c r="G2" s="58">
        <v>0</v>
      </c>
      <c r="H2" s="58">
        <v>0</v>
      </c>
      <c r="I2" s="58">
        <v>0</v>
      </c>
      <c r="J2" s="58">
        <v>0</v>
      </c>
      <c r="K2" s="58">
        <v>0</v>
      </c>
      <c r="L2" s="58">
        <v>0</v>
      </c>
      <c r="M2" s="58">
        <v>0</v>
      </c>
      <c r="N2" s="58">
        <v>0</v>
      </c>
      <c r="O2" s="58">
        <v>-2054.85</v>
      </c>
      <c r="P2" s="58">
        <v>6626.97</v>
      </c>
      <c r="Q2" s="58">
        <v>8391.3799999999992</v>
      </c>
      <c r="R2" s="58">
        <v>10120.42</v>
      </c>
      <c r="S2" s="58">
        <v>11814.56</v>
      </c>
      <c r="T2" s="58">
        <v>13473.35</v>
      </c>
      <c r="U2" s="58">
        <v>15099.68</v>
      </c>
      <c r="V2" s="58">
        <v>16693.04</v>
      </c>
      <c r="W2" s="58">
        <v>18255.900000000001</v>
      </c>
      <c r="X2" s="58">
        <v>19786.330000000002</v>
      </c>
      <c r="Y2" s="58">
        <v>21286.19</v>
      </c>
      <c r="Z2" s="58">
        <v>22755.55</v>
      </c>
      <c r="AA2" s="58">
        <v>162248.51999999999</v>
      </c>
      <c r="AB2" s="58">
        <v>19541.48</v>
      </c>
      <c r="AC2" s="58">
        <v>20977.200000000001</v>
      </c>
      <c r="AD2" s="58">
        <v>19445.689999999999</v>
      </c>
      <c r="AE2" s="58">
        <v>20827.14</v>
      </c>
      <c r="AF2" s="58">
        <v>22180.01</v>
      </c>
      <c r="AG2" s="58">
        <v>23506.74</v>
      </c>
      <c r="AH2" s="58">
        <v>24804.82</v>
      </c>
      <c r="AI2" s="58">
        <v>26078.68</v>
      </c>
      <c r="AJ2" s="58">
        <v>27326.85</v>
      </c>
      <c r="AK2" s="58">
        <v>28548.85</v>
      </c>
      <c r="AL2" s="58">
        <v>29746.6</v>
      </c>
      <c r="AM2" s="58">
        <v>30920.6</v>
      </c>
      <c r="AN2" s="58">
        <v>293904.65999999997</v>
      </c>
      <c r="AO2" s="58">
        <v>29659.49</v>
      </c>
      <c r="AP2" s="58">
        <v>30711.279999999999</v>
      </c>
      <c r="AQ2" s="58">
        <v>29960.21</v>
      </c>
      <c r="AR2" s="58">
        <v>31062.57</v>
      </c>
      <c r="AS2" s="58">
        <v>32143.63</v>
      </c>
      <c r="AT2" s="58">
        <v>33202.82</v>
      </c>
      <c r="AU2" s="58">
        <v>34240.22</v>
      </c>
      <c r="AV2" s="58">
        <v>35255.269999999997</v>
      </c>
      <c r="AW2" s="58">
        <v>36251.449999999997</v>
      </c>
      <c r="AX2" s="58">
        <v>37228.19</v>
      </c>
      <c r="AY2" s="58">
        <v>36370.83</v>
      </c>
      <c r="AZ2" s="58">
        <v>37308.82</v>
      </c>
      <c r="BA2" s="58">
        <v>403394.78</v>
      </c>
      <c r="BB2" s="58">
        <v>35931.96</v>
      </c>
      <c r="BC2" s="58">
        <v>30203.43</v>
      </c>
      <c r="BD2" s="58">
        <v>31024.560000000001</v>
      </c>
      <c r="BE2" s="58">
        <v>31830.14</v>
      </c>
      <c r="BF2" s="58">
        <v>32619.73</v>
      </c>
      <c r="BG2" s="58">
        <v>33393.800000000003</v>
      </c>
      <c r="BH2" s="58">
        <v>34151.870000000003</v>
      </c>
      <c r="BI2" s="58">
        <v>34893.919999999998</v>
      </c>
      <c r="BJ2" s="58">
        <v>35622.67</v>
      </c>
      <c r="BK2" s="58">
        <v>36335.89</v>
      </c>
      <c r="BL2" s="58">
        <v>35159.589999999997</v>
      </c>
      <c r="BM2" s="58">
        <v>43084.56</v>
      </c>
      <c r="BN2" s="58">
        <v>414252.12</v>
      </c>
      <c r="BO2" s="58">
        <v>41331.46</v>
      </c>
      <c r="BP2" s="58">
        <v>42057.06</v>
      </c>
      <c r="BQ2" s="58">
        <v>42768.1</v>
      </c>
      <c r="BR2" s="58">
        <v>43464.61</v>
      </c>
      <c r="BS2" s="58">
        <v>44145.55</v>
      </c>
      <c r="BT2" s="58">
        <v>44814.37</v>
      </c>
      <c r="BU2" s="58">
        <v>45470.58</v>
      </c>
      <c r="BV2" s="58">
        <v>46112.23</v>
      </c>
      <c r="BW2" s="58">
        <v>46741.23</v>
      </c>
      <c r="BX2" s="58">
        <v>47357.63</v>
      </c>
      <c r="BY2" s="58">
        <v>47961.9</v>
      </c>
      <c r="BZ2" s="58">
        <v>48553.56</v>
      </c>
      <c r="CA2" s="58">
        <v>540778.28</v>
      </c>
      <c r="CB2" s="58">
        <v>45497.13</v>
      </c>
      <c r="CC2" s="58">
        <v>46071.45</v>
      </c>
      <c r="CD2" s="58">
        <v>46632.65</v>
      </c>
      <c r="CE2" s="58">
        <v>47184.65</v>
      </c>
      <c r="CF2" s="58">
        <v>47723.519999999997</v>
      </c>
      <c r="CG2" s="58">
        <v>48252.7</v>
      </c>
      <c r="CH2" s="58">
        <v>48771.199999999997</v>
      </c>
      <c r="CI2" s="58">
        <v>49280.46</v>
      </c>
      <c r="CJ2" s="58">
        <v>47964.82</v>
      </c>
      <c r="CK2" s="58">
        <v>47329.23</v>
      </c>
      <c r="CL2" s="58">
        <v>47807.92</v>
      </c>
      <c r="CM2" s="58">
        <v>48276.88</v>
      </c>
      <c r="CN2" s="58">
        <v>570792.61</v>
      </c>
      <c r="CO2" s="58">
        <v>2385370.9700000002</v>
      </c>
    </row>
    <row r="3" spans="1:93" ht="14.4" x14ac:dyDescent="0.3">
      <c r="A3" s="56" t="s">
        <v>274</v>
      </c>
      <c r="B3" s="58">
        <v>0</v>
      </c>
      <c r="C3" s="58">
        <v>0</v>
      </c>
      <c r="D3" s="58">
        <v>0</v>
      </c>
      <c r="E3" s="58">
        <v>0</v>
      </c>
      <c r="F3" s="58">
        <v>0</v>
      </c>
      <c r="G3" s="58">
        <v>0</v>
      </c>
      <c r="H3" s="58">
        <v>0</v>
      </c>
      <c r="I3" s="58">
        <v>0</v>
      </c>
      <c r="J3" s="58">
        <v>0</v>
      </c>
      <c r="K3" s="58">
        <v>0</v>
      </c>
      <c r="L3" s="58">
        <v>0</v>
      </c>
      <c r="M3" s="58">
        <v>0</v>
      </c>
      <c r="N3" s="58">
        <v>0</v>
      </c>
      <c r="O3" s="58">
        <v>-2054.85</v>
      </c>
      <c r="P3" s="58">
        <v>6626.97</v>
      </c>
      <c r="Q3" s="58">
        <v>8391.3799999999992</v>
      </c>
      <c r="R3" s="58">
        <v>10120.42</v>
      </c>
      <c r="S3" s="58">
        <v>11814.56</v>
      </c>
      <c r="T3" s="58">
        <v>13473.35</v>
      </c>
      <c r="U3" s="58">
        <v>15099.68</v>
      </c>
      <c r="V3" s="58">
        <v>16693.04</v>
      </c>
      <c r="W3" s="58">
        <v>18255.900000000001</v>
      </c>
      <c r="X3" s="58">
        <v>19786.330000000002</v>
      </c>
      <c r="Y3" s="58">
        <v>21286.19</v>
      </c>
      <c r="Z3" s="58">
        <v>22755.55</v>
      </c>
      <c r="AA3" s="58">
        <v>162248.51999999999</v>
      </c>
      <c r="AB3" s="58">
        <v>19541.48</v>
      </c>
      <c r="AC3" s="58">
        <v>20977.200000000001</v>
      </c>
      <c r="AD3" s="58">
        <v>19445.689999999999</v>
      </c>
      <c r="AE3" s="58">
        <v>20827.14</v>
      </c>
      <c r="AF3" s="58">
        <v>22180.01</v>
      </c>
      <c r="AG3" s="58">
        <v>23506.74</v>
      </c>
      <c r="AH3" s="58">
        <v>24804.82</v>
      </c>
      <c r="AI3" s="58">
        <v>26078.68</v>
      </c>
      <c r="AJ3" s="58">
        <v>27326.85</v>
      </c>
      <c r="AK3" s="58">
        <v>28548.85</v>
      </c>
      <c r="AL3" s="58">
        <v>29746.6</v>
      </c>
      <c r="AM3" s="58">
        <v>30920.6</v>
      </c>
      <c r="AN3" s="58">
        <v>293904.65999999997</v>
      </c>
      <c r="AO3" s="58">
        <v>29659.49</v>
      </c>
      <c r="AP3" s="58">
        <v>30711.279999999999</v>
      </c>
      <c r="AQ3" s="58">
        <v>29960.21</v>
      </c>
      <c r="AR3" s="58">
        <v>31062.57</v>
      </c>
      <c r="AS3" s="58">
        <v>32143.63</v>
      </c>
      <c r="AT3" s="58">
        <v>33202.82</v>
      </c>
      <c r="AU3" s="58">
        <v>34240.22</v>
      </c>
      <c r="AV3" s="58">
        <v>35255.269999999997</v>
      </c>
      <c r="AW3" s="58">
        <v>36251.449999999997</v>
      </c>
      <c r="AX3" s="58">
        <v>37228.19</v>
      </c>
      <c r="AY3" s="58">
        <v>36370.83</v>
      </c>
      <c r="AZ3" s="58">
        <v>37308.82</v>
      </c>
      <c r="BA3" s="58">
        <v>403394.78</v>
      </c>
      <c r="BB3" s="58">
        <v>35931.96</v>
      </c>
      <c r="BC3" s="58">
        <v>30203.43</v>
      </c>
      <c r="BD3" s="58">
        <v>31024.560000000001</v>
      </c>
      <c r="BE3" s="58">
        <v>31830.14</v>
      </c>
      <c r="BF3" s="58">
        <v>32619.73</v>
      </c>
      <c r="BG3" s="58">
        <v>33393.800000000003</v>
      </c>
      <c r="BH3" s="58">
        <v>34151.870000000003</v>
      </c>
      <c r="BI3" s="58">
        <v>34893.919999999998</v>
      </c>
      <c r="BJ3" s="58">
        <v>35622.67</v>
      </c>
      <c r="BK3" s="58">
        <v>36335.89</v>
      </c>
      <c r="BL3" s="58">
        <v>35159.589999999997</v>
      </c>
      <c r="BM3" s="58">
        <v>43084.56</v>
      </c>
      <c r="BN3" s="58">
        <v>414252.12</v>
      </c>
      <c r="BO3" s="58">
        <v>41331.46</v>
      </c>
      <c r="BP3" s="58">
        <v>42057.06</v>
      </c>
      <c r="BQ3" s="58">
        <v>42768.1</v>
      </c>
      <c r="BR3" s="58">
        <v>43464.61</v>
      </c>
      <c r="BS3" s="58">
        <v>44145.55</v>
      </c>
      <c r="BT3" s="58">
        <v>44814.37</v>
      </c>
      <c r="BU3" s="58">
        <v>45470.58</v>
      </c>
      <c r="BV3" s="58">
        <v>46112.23</v>
      </c>
      <c r="BW3" s="58">
        <v>46741.23</v>
      </c>
      <c r="BX3" s="58">
        <v>47357.63</v>
      </c>
      <c r="BY3" s="58">
        <v>47961.9</v>
      </c>
      <c r="BZ3" s="58">
        <v>48553.56</v>
      </c>
      <c r="CA3" s="58">
        <v>540778.28</v>
      </c>
      <c r="CB3" s="58">
        <v>45497.13</v>
      </c>
      <c r="CC3" s="58">
        <v>46071.45</v>
      </c>
      <c r="CD3" s="58">
        <v>46632.65</v>
      </c>
      <c r="CE3" s="58">
        <v>47184.65</v>
      </c>
      <c r="CF3" s="58">
        <v>47723.519999999997</v>
      </c>
      <c r="CG3" s="58">
        <v>48252.7</v>
      </c>
      <c r="CH3" s="58">
        <v>48771.199999999997</v>
      </c>
      <c r="CI3" s="58">
        <v>49280.46</v>
      </c>
      <c r="CJ3" s="58">
        <v>47964.82</v>
      </c>
      <c r="CK3" s="58">
        <v>47329.23</v>
      </c>
      <c r="CL3" s="58">
        <v>47807.92</v>
      </c>
      <c r="CM3" s="58">
        <v>48276.88</v>
      </c>
      <c r="CN3" s="58">
        <v>570792.61</v>
      </c>
      <c r="CO3" s="58">
        <v>2385370.9700000002</v>
      </c>
    </row>
    <row r="4" spans="1:93" ht="14.4" x14ac:dyDescent="0.3">
      <c r="A4" s="56" t="s">
        <v>275</v>
      </c>
      <c r="B4" s="58">
        <v>0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-555.82000000000005</v>
      </c>
      <c r="P4" s="58">
        <v>1792.54</v>
      </c>
      <c r="Q4" s="58">
        <v>2269.8000000000002</v>
      </c>
      <c r="R4" s="58">
        <v>2737.49</v>
      </c>
      <c r="S4" s="58">
        <v>3195.74</v>
      </c>
      <c r="T4" s="58">
        <v>3644.43</v>
      </c>
      <c r="U4" s="58">
        <v>4084.34</v>
      </c>
      <c r="V4" s="58">
        <v>4515.33</v>
      </c>
      <c r="W4" s="58">
        <v>4938.07</v>
      </c>
      <c r="X4" s="58">
        <v>5352.04</v>
      </c>
      <c r="Y4" s="58">
        <v>5757.74</v>
      </c>
      <c r="Z4" s="58">
        <v>6155.19</v>
      </c>
      <c r="AA4" s="58">
        <v>43886.89</v>
      </c>
      <c r="AB4" s="58">
        <v>5285.81</v>
      </c>
      <c r="AC4" s="58">
        <v>5674.16</v>
      </c>
      <c r="AD4" s="58">
        <v>5259.9</v>
      </c>
      <c r="AE4" s="58">
        <v>5633.57</v>
      </c>
      <c r="AF4" s="58">
        <v>5999.51</v>
      </c>
      <c r="AG4" s="58">
        <v>6358.38</v>
      </c>
      <c r="AH4" s="58">
        <v>6709.5</v>
      </c>
      <c r="AI4" s="58">
        <v>7054.07</v>
      </c>
      <c r="AJ4" s="58">
        <v>7391.69</v>
      </c>
      <c r="AK4" s="58">
        <v>7722.23</v>
      </c>
      <c r="AL4" s="58">
        <v>8046.21</v>
      </c>
      <c r="AM4" s="58">
        <v>8363.77</v>
      </c>
      <c r="AN4" s="58">
        <v>79498.8</v>
      </c>
      <c r="AO4" s="58">
        <v>8022.65</v>
      </c>
      <c r="AP4" s="58">
        <v>8307.15</v>
      </c>
      <c r="AQ4" s="58">
        <v>8103.99</v>
      </c>
      <c r="AR4" s="58">
        <v>8402.17</v>
      </c>
      <c r="AS4" s="58">
        <v>8694.59</v>
      </c>
      <c r="AT4" s="58">
        <v>8981.09</v>
      </c>
      <c r="AU4" s="58">
        <v>9261.7000000000007</v>
      </c>
      <c r="AV4" s="58">
        <v>9536.26</v>
      </c>
      <c r="AW4" s="58">
        <v>9805.7199999999993</v>
      </c>
      <c r="AX4" s="58">
        <v>10069.92</v>
      </c>
      <c r="AY4" s="58">
        <v>9838.01</v>
      </c>
      <c r="AZ4" s="58">
        <v>10091.73</v>
      </c>
      <c r="BA4" s="58">
        <v>109114.98</v>
      </c>
      <c r="BB4" s="58">
        <v>9719.2999999999993</v>
      </c>
      <c r="BC4" s="58">
        <v>8169.78</v>
      </c>
      <c r="BD4" s="58">
        <v>8391.89</v>
      </c>
      <c r="BE4" s="58">
        <v>8609.7900000000009</v>
      </c>
      <c r="BF4" s="58">
        <v>8823.3700000000008</v>
      </c>
      <c r="BG4" s="58">
        <v>9032.75</v>
      </c>
      <c r="BH4" s="58">
        <v>9237.7999999999993</v>
      </c>
      <c r="BI4" s="58">
        <v>9438.52</v>
      </c>
      <c r="BJ4" s="58">
        <v>9635.64</v>
      </c>
      <c r="BK4" s="58">
        <v>9828.56</v>
      </c>
      <c r="BL4" s="58">
        <v>9510.3799999999992</v>
      </c>
      <c r="BM4" s="58">
        <v>11654.02</v>
      </c>
      <c r="BN4" s="58">
        <v>112051.8</v>
      </c>
      <c r="BO4" s="58">
        <v>11179.82</v>
      </c>
      <c r="BP4" s="58">
        <v>11376.09</v>
      </c>
      <c r="BQ4" s="58">
        <v>11568.42</v>
      </c>
      <c r="BR4" s="58">
        <v>11756.82</v>
      </c>
      <c r="BS4" s="58">
        <v>11941.01</v>
      </c>
      <c r="BT4" s="58">
        <v>12121.92</v>
      </c>
      <c r="BU4" s="58">
        <v>12299.42</v>
      </c>
      <c r="BV4" s="58">
        <v>12472.98</v>
      </c>
      <c r="BW4" s="58">
        <v>12643.12</v>
      </c>
      <c r="BX4" s="58">
        <v>12809.85</v>
      </c>
      <c r="BY4" s="58">
        <v>12973.3</v>
      </c>
      <c r="BZ4" s="58">
        <v>13133.34</v>
      </c>
      <c r="CA4" s="58">
        <v>146276.09</v>
      </c>
      <c r="CB4" s="58">
        <v>12306.6</v>
      </c>
      <c r="CC4" s="58">
        <v>12461.95</v>
      </c>
      <c r="CD4" s="58">
        <v>12613.75</v>
      </c>
      <c r="CE4" s="58">
        <v>12763.06</v>
      </c>
      <c r="CF4" s="58">
        <v>12908.82</v>
      </c>
      <c r="CG4" s="58">
        <v>13051.96</v>
      </c>
      <c r="CH4" s="58">
        <v>13192.21</v>
      </c>
      <c r="CI4" s="58">
        <v>13329.96</v>
      </c>
      <c r="CJ4" s="58">
        <v>12974.09</v>
      </c>
      <c r="CK4" s="58">
        <v>12802.17</v>
      </c>
      <c r="CL4" s="58">
        <v>12931.65</v>
      </c>
      <c r="CM4" s="58">
        <v>13058.5</v>
      </c>
      <c r="CN4" s="58">
        <v>154394.72</v>
      </c>
      <c r="CO4" s="58">
        <v>645223.28</v>
      </c>
    </row>
    <row r="5" spans="1:93" ht="14.4" x14ac:dyDescent="0.3">
      <c r="A5" s="56" t="s">
        <v>276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-555.82000000000005</v>
      </c>
      <c r="P5" s="58">
        <v>1792.54</v>
      </c>
      <c r="Q5" s="58">
        <v>2269.8000000000002</v>
      </c>
      <c r="R5" s="58">
        <v>2737.49</v>
      </c>
      <c r="S5" s="58">
        <v>3195.74</v>
      </c>
      <c r="T5" s="58">
        <v>3644.43</v>
      </c>
      <c r="U5" s="58">
        <v>4084.34</v>
      </c>
      <c r="V5" s="58">
        <v>4515.33</v>
      </c>
      <c r="W5" s="58">
        <v>4938.07</v>
      </c>
      <c r="X5" s="58">
        <v>5352.04</v>
      </c>
      <c r="Y5" s="58">
        <v>5757.74</v>
      </c>
      <c r="Z5" s="58">
        <v>6155.19</v>
      </c>
      <c r="AA5" s="58">
        <v>43886.89</v>
      </c>
      <c r="AB5" s="58">
        <v>5285.81</v>
      </c>
      <c r="AC5" s="58">
        <v>5674.16</v>
      </c>
      <c r="AD5" s="58">
        <v>5259.9</v>
      </c>
      <c r="AE5" s="58">
        <v>5633.57</v>
      </c>
      <c r="AF5" s="58">
        <v>5999.51</v>
      </c>
      <c r="AG5" s="58">
        <v>6358.38</v>
      </c>
      <c r="AH5" s="58">
        <v>6709.5</v>
      </c>
      <c r="AI5" s="58">
        <v>7054.07</v>
      </c>
      <c r="AJ5" s="58">
        <v>7391.69</v>
      </c>
      <c r="AK5" s="58">
        <v>7722.23</v>
      </c>
      <c r="AL5" s="58">
        <v>8046.21</v>
      </c>
      <c r="AM5" s="58">
        <v>8363.77</v>
      </c>
      <c r="AN5" s="58">
        <v>79498.8</v>
      </c>
      <c r="AO5" s="58">
        <v>8022.65</v>
      </c>
      <c r="AP5" s="58">
        <v>8307.15</v>
      </c>
      <c r="AQ5" s="58">
        <v>8103.99</v>
      </c>
      <c r="AR5" s="58">
        <v>8402.17</v>
      </c>
      <c r="AS5" s="58">
        <v>8694.59</v>
      </c>
      <c r="AT5" s="58">
        <v>8981.09</v>
      </c>
      <c r="AU5" s="58">
        <v>9261.7000000000007</v>
      </c>
      <c r="AV5" s="58">
        <v>9536.26</v>
      </c>
      <c r="AW5" s="58">
        <v>9805.7199999999993</v>
      </c>
      <c r="AX5" s="58">
        <v>10069.92</v>
      </c>
      <c r="AY5" s="58">
        <v>9838.01</v>
      </c>
      <c r="AZ5" s="58">
        <v>10091.73</v>
      </c>
      <c r="BA5" s="58">
        <v>109114.98</v>
      </c>
      <c r="BB5" s="58">
        <v>9719.2999999999993</v>
      </c>
      <c r="BC5" s="58">
        <v>8169.78</v>
      </c>
      <c r="BD5" s="58">
        <v>8391.89</v>
      </c>
      <c r="BE5" s="58">
        <v>8609.7900000000009</v>
      </c>
      <c r="BF5" s="58">
        <v>8823.3700000000008</v>
      </c>
      <c r="BG5" s="58">
        <v>9032.75</v>
      </c>
      <c r="BH5" s="58">
        <v>9237.7999999999993</v>
      </c>
      <c r="BI5" s="58">
        <v>9438.52</v>
      </c>
      <c r="BJ5" s="58">
        <v>9635.64</v>
      </c>
      <c r="BK5" s="58">
        <v>9828.56</v>
      </c>
      <c r="BL5" s="58">
        <v>9510.3799999999992</v>
      </c>
      <c r="BM5" s="58">
        <v>11654.02</v>
      </c>
      <c r="BN5" s="58">
        <v>112051.8</v>
      </c>
      <c r="BO5" s="58">
        <v>11179.82</v>
      </c>
      <c r="BP5" s="58">
        <v>11376.09</v>
      </c>
      <c r="BQ5" s="58">
        <v>11568.42</v>
      </c>
      <c r="BR5" s="58">
        <v>11756.82</v>
      </c>
      <c r="BS5" s="58">
        <v>11941.01</v>
      </c>
      <c r="BT5" s="58">
        <v>12121.92</v>
      </c>
      <c r="BU5" s="58">
        <v>12299.42</v>
      </c>
      <c r="BV5" s="58">
        <v>12472.98</v>
      </c>
      <c r="BW5" s="58">
        <v>12643.12</v>
      </c>
      <c r="BX5" s="58">
        <v>12809.85</v>
      </c>
      <c r="BY5" s="58">
        <v>12973.3</v>
      </c>
      <c r="BZ5" s="58">
        <v>13133.34</v>
      </c>
      <c r="CA5" s="58">
        <v>146276.09</v>
      </c>
      <c r="CB5" s="58">
        <v>12306.6</v>
      </c>
      <c r="CC5" s="58">
        <v>12461.95</v>
      </c>
      <c r="CD5" s="58">
        <v>12613.75</v>
      </c>
      <c r="CE5" s="58">
        <v>12763.06</v>
      </c>
      <c r="CF5" s="58">
        <v>12908.82</v>
      </c>
      <c r="CG5" s="58">
        <v>13051.96</v>
      </c>
      <c r="CH5" s="58">
        <v>13192.21</v>
      </c>
      <c r="CI5" s="58">
        <v>13329.96</v>
      </c>
      <c r="CJ5" s="58">
        <v>12974.09</v>
      </c>
      <c r="CK5" s="58">
        <v>12802.17</v>
      </c>
      <c r="CL5" s="58">
        <v>12931.65</v>
      </c>
      <c r="CM5" s="58">
        <v>13058.5</v>
      </c>
      <c r="CN5" s="58">
        <v>154394.72</v>
      </c>
      <c r="CO5" s="58">
        <v>645223.28</v>
      </c>
    </row>
    <row r="6" spans="1:93" ht="14.4" x14ac:dyDescent="0.3">
      <c r="A6" s="56" t="s">
        <v>277</v>
      </c>
      <c r="B6" s="58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-555.82000000000005</v>
      </c>
      <c r="P6" s="58">
        <v>1792.54</v>
      </c>
      <c r="Q6" s="58">
        <v>2269.8000000000002</v>
      </c>
      <c r="R6" s="58">
        <v>2737.49</v>
      </c>
      <c r="S6" s="58">
        <v>3195.74</v>
      </c>
      <c r="T6" s="58">
        <v>3644.43</v>
      </c>
      <c r="U6" s="58">
        <v>4084.34</v>
      </c>
      <c r="V6" s="58">
        <v>4515.33</v>
      </c>
      <c r="W6" s="58">
        <v>4938.07</v>
      </c>
      <c r="X6" s="58">
        <v>5352.04</v>
      </c>
      <c r="Y6" s="58">
        <v>5757.74</v>
      </c>
      <c r="Z6" s="58">
        <v>6155.19</v>
      </c>
      <c r="AA6" s="58">
        <v>43886.89</v>
      </c>
      <c r="AB6" s="58">
        <v>5285.81</v>
      </c>
      <c r="AC6" s="58">
        <v>5674.16</v>
      </c>
      <c r="AD6" s="58">
        <v>5259.9</v>
      </c>
      <c r="AE6" s="58">
        <v>5633.57</v>
      </c>
      <c r="AF6" s="58">
        <v>5999.51</v>
      </c>
      <c r="AG6" s="58">
        <v>6358.38</v>
      </c>
      <c r="AH6" s="58">
        <v>6709.5</v>
      </c>
      <c r="AI6" s="58">
        <v>7054.07</v>
      </c>
      <c r="AJ6" s="58">
        <v>7391.69</v>
      </c>
      <c r="AK6" s="58">
        <v>7722.23</v>
      </c>
      <c r="AL6" s="58">
        <v>8046.21</v>
      </c>
      <c r="AM6" s="58">
        <v>8363.77</v>
      </c>
      <c r="AN6" s="58">
        <v>79498.8</v>
      </c>
      <c r="AO6" s="58">
        <v>8022.65</v>
      </c>
      <c r="AP6" s="58">
        <v>8307.15</v>
      </c>
      <c r="AQ6" s="58">
        <v>8103.99</v>
      </c>
      <c r="AR6" s="58">
        <v>8402.17</v>
      </c>
      <c r="AS6" s="58">
        <v>8694.59</v>
      </c>
      <c r="AT6" s="58">
        <v>8981.09</v>
      </c>
      <c r="AU6" s="58">
        <v>9261.7000000000007</v>
      </c>
      <c r="AV6" s="58">
        <v>9536.26</v>
      </c>
      <c r="AW6" s="58">
        <v>9805.7199999999993</v>
      </c>
      <c r="AX6" s="58">
        <v>10069.92</v>
      </c>
      <c r="AY6" s="58">
        <v>9838.01</v>
      </c>
      <c r="AZ6" s="58">
        <v>10091.73</v>
      </c>
      <c r="BA6" s="58">
        <v>109114.98</v>
      </c>
      <c r="BB6" s="58">
        <v>9719.2999999999993</v>
      </c>
      <c r="BC6" s="58">
        <v>8169.78</v>
      </c>
      <c r="BD6" s="58">
        <v>8391.89</v>
      </c>
      <c r="BE6" s="58">
        <v>8609.7900000000009</v>
      </c>
      <c r="BF6" s="58">
        <v>8823.3700000000008</v>
      </c>
      <c r="BG6" s="58">
        <v>9032.75</v>
      </c>
      <c r="BH6" s="58">
        <v>9237.7999999999993</v>
      </c>
      <c r="BI6" s="58">
        <v>9438.52</v>
      </c>
      <c r="BJ6" s="58">
        <v>9635.64</v>
      </c>
      <c r="BK6" s="58">
        <v>9828.56</v>
      </c>
      <c r="BL6" s="58">
        <v>9510.3799999999992</v>
      </c>
      <c r="BM6" s="58">
        <v>11654.02</v>
      </c>
      <c r="BN6" s="58">
        <v>112051.8</v>
      </c>
      <c r="BO6" s="58">
        <v>11179.82</v>
      </c>
      <c r="BP6" s="58">
        <v>11376.09</v>
      </c>
      <c r="BQ6" s="58">
        <v>11568.42</v>
      </c>
      <c r="BR6" s="58">
        <v>11756.82</v>
      </c>
      <c r="BS6" s="58">
        <v>11941.01</v>
      </c>
      <c r="BT6" s="58">
        <v>12121.92</v>
      </c>
      <c r="BU6" s="58">
        <v>12299.42</v>
      </c>
      <c r="BV6" s="58">
        <v>12472.98</v>
      </c>
      <c r="BW6" s="58">
        <v>12643.12</v>
      </c>
      <c r="BX6" s="58">
        <v>12809.85</v>
      </c>
      <c r="BY6" s="58">
        <v>12973.3</v>
      </c>
      <c r="BZ6" s="58">
        <v>13133.34</v>
      </c>
      <c r="CA6" s="58">
        <v>146276.09</v>
      </c>
      <c r="CB6" s="58">
        <v>12306.6</v>
      </c>
      <c r="CC6" s="58">
        <v>12461.95</v>
      </c>
      <c r="CD6" s="58">
        <v>12613.75</v>
      </c>
      <c r="CE6" s="58">
        <v>12763.06</v>
      </c>
      <c r="CF6" s="58">
        <v>12908.82</v>
      </c>
      <c r="CG6" s="58">
        <v>13051.96</v>
      </c>
      <c r="CH6" s="58">
        <v>13192.21</v>
      </c>
      <c r="CI6" s="58">
        <v>13329.96</v>
      </c>
      <c r="CJ6" s="58">
        <v>12974.09</v>
      </c>
      <c r="CK6" s="58">
        <v>12802.17</v>
      </c>
      <c r="CL6" s="58">
        <v>12931.65</v>
      </c>
      <c r="CM6" s="58">
        <v>13058.5</v>
      </c>
      <c r="CN6" s="58">
        <v>154394.72</v>
      </c>
      <c r="CO6" s="58">
        <v>645223.28</v>
      </c>
    </row>
    <row r="7" spans="1:93" ht="14.4" x14ac:dyDescent="0.3">
      <c r="A7" s="56" t="s">
        <v>278</v>
      </c>
      <c r="B7" s="58">
        <v>0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-387.39</v>
      </c>
      <c r="P7" s="58">
        <v>1249.3499999999999</v>
      </c>
      <c r="Q7" s="58">
        <v>1581.98</v>
      </c>
      <c r="R7" s="58">
        <v>1907.95</v>
      </c>
      <c r="S7" s="58">
        <v>2227.34</v>
      </c>
      <c r="T7" s="58">
        <v>2540.06</v>
      </c>
      <c r="U7" s="58">
        <v>2846.66</v>
      </c>
      <c r="V7" s="58">
        <v>3147.05</v>
      </c>
      <c r="W7" s="58">
        <v>3441.69</v>
      </c>
      <c r="X7" s="58">
        <v>3730.21</v>
      </c>
      <c r="Y7" s="58">
        <v>4012.97</v>
      </c>
      <c r="Z7" s="58">
        <v>4289.9799999999996</v>
      </c>
      <c r="AA7" s="58">
        <v>30587.85</v>
      </c>
      <c r="AB7" s="58">
        <v>3684.05</v>
      </c>
      <c r="AC7" s="58">
        <v>3954.72</v>
      </c>
      <c r="AD7" s="58">
        <v>3665.99</v>
      </c>
      <c r="AE7" s="58">
        <v>3926.43</v>
      </c>
      <c r="AF7" s="58">
        <v>4181.4799999999996</v>
      </c>
      <c r="AG7" s="58">
        <v>4431.6000000000004</v>
      </c>
      <c r="AH7" s="58">
        <v>4676.32</v>
      </c>
      <c r="AI7" s="58">
        <v>4916.47</v>
      </c>
      <c r="AJ7" s="58">
        <v>5151.78</v>
      </c>
      <c r="AK7" s="58">
        <v>5382.16</v>
      </c>
      <c r="AL7" s="58">
        <v>5607.97</v>
      </c>
      <c r="AM7" s="58">
        <v>5829.29</v>
      </c>
      <c r="AN7" s="58">
        <v>55408.26</v>
      </c>
      <c r="AO7" s="58">
        <v>5591.54</v>
      </c>
      <c r="AP7" s="58">
        <v>5789.83</v>
      </c>
      <c r="AQ7" s="58">
        <v>5648.24</v>
      </c>
      <c r="AR7" s="58">
        <v>5856.06</v>
      </c>
      <c r="AS7" s="58">
        <v>6059.86</v>
      </c>
      <c r="AT7" s="58">
        <v>6259.55</v>
      </c>
      <c r="AU7" s="58">
        <v>6455.12</v>
      </c>
      <c r="AV7" s="58">
        <v>6646.49</v>
      </c>
      <c r="AW7" s="58">
        <v>6834.29</v>
      </c>
      <c r="AX7" s="58">
        <v>7018.43</v>
      </c>
      <c r="AY7" s="58">
        <v>6856.8</v>
      </c>
      <c r="AZ7" s="58">
        <v>7033.63</v>
      </c>
      <c r="BA7" s="58">
        <v>76049.84</v>
      </c>
      <c r="BB7" s="58">
        <v>6774.06</v>
      </c>
      <c r="BC7" s="58">
        <v>5694.09</v>
      </c>
      <c r="BD7" s="58">
        <v>5848.89</v>
      </c>
      <c r="BE7" s="58">
        <v>6000.77</v>
      </c>
      <c r="BF7" s="58">
        <v>6149.62</v>
      </c>
      <c r="BG7" s="58">
        <v>6295.55</v>
      </c>
      <c r="BH7" s="58">
        <v>6438.47</v>
      </c>
      <c r="BI7" s="58">
        <v>6578.36</v>
      </c>
      <c r="BJ7" s="58">
        <v>6715.75</v>
      </c>
      <c r="BK7" s="58">
        <v>6850.21</v>
      </c>
      <c r="BL7" s="58">
        <v>6628.45</v>
      </c>
      <c r="BM7" s="58">
        <v>8122.5</v>
      </c>
      <c r="BN7" s="58">
        <v>78096.72</v>
      </c>
      <c r="BO7" s="58">
        <v>7792</v>
      </c>
      <c r="BP7" s="58">
        <v>7928.79</v>
      </c>
      <c r="BQ7" s="58">
        <v>8062.84</v>
      </c>
      <c r="BR7" s="58">
        <v>8194.15</v>
      </c>
      <c r="BS7" s="58">
        <v>8322.52</v>
      </c>
      <c r="BT7" s="58">
        <v>8448.61</v>
      </c>
      <c r="BU7" s="58">
        <v>8572.32</v>
      </c>
      <c r="BV7" s="58">
        <v>8693.2900000000009</v>
      </c>
      <c r="BW7" s="58">
        <v>8811.8700000000008</v>
      </c>
      <c r="BX7" s="58">
        <v>8928.08</v>
      </c>
      <c r="BY7" s="58">
        <v>9042</v>
      </c>
      <c r="BZ7" s="58">
        <v>9153.5400000000009</v>
      </c>
      <c r="CA7" s="58">
        <v>101950.01</v>
      </c>
      <c r="CB7" s="58">
        <v>8577.33</v>
      </c>
      <c r="CC7" s="58">
        <v>8685.6</v>
      </c>
      <c r="CD7" s="58">
        <v>8791.4</v>
      </c>
      <c r="CE7" s="58">
        <v>8895.4699999999993</v>
      </c>
      <c r="CF7" s="58">
        <v>8997.06</v>
      </c>
      <c r="CG7" s="58">
        <v>9096.82</v>
      </c>
      <c r="CH7" s="58">
        <v>9194.57</v>
      </c>
      <c r="CI7" s="58">
        <v>9290.58</v>
      </c>
      <c r="CJ7" s="58">
        <v>9042.5499999999993</v>
      </c>
      <c r="CK7" s="58">
        <v>8922.7199999999993</v>
      </c>
      <c r="CL7" s="58">
        <v>9012.9699999999993</v>
      </c>
      <c r="CM7" s="58">
        <v>9101.3799999999992</v>
      </c>
      <c r="CN7" s="58">
        <v>107608.45</v>
      </c>
      <c r="CO7" s="58">
        <v>449701.13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279</v>
      </c>
      <c r="B2" s="58">
        <v>9695.2800000000007</v>
      </c>
      <c r="C2" s="58">
        <v>19196.66</v>
      </c>
      <c r="D2" s="58">
        <v>28504.13</v>
      </c>
      <c r="E2" s="58">
        <v>37627.379999999997</v>
      </c>
      <c r="F2" s="58">
        <v>46566.43</v>
      </c>
      <c r="G2" s="58">
        <v>55330.97</v>
      </c>
      <c r="H2" s="58">
        <v>63920.97</v>
      </c>
      <c r="I2" s="58">
        <v>72336.490000000005</v>
      </c>
      <c r="J2" s="58">
        <v>80587.17</v>
      </c>
      <c r="K2" s="58">
        <v>88673.03</v>
      </c>
      <c r="L2" s="58">
        <v>96594.07</v>
      </c>
      <c r="M2" s="58">
        <v>104359.99</v>
      </c>
      <c r="N2" s="58">
        <v>703392.57</v>
      </c>
      <c r="O2" s="58">
        <v>111970.78</v>
      </c>
      <c r="P2" s="58">
        <v>119426.45</v>
      </c>
      <c r="Q2" s="58">
        <v>126736.7</v>
      </c>
      <c r="R2" s="58">
        <v>133901.51999999999</v>
      </c>
      <c r="S2" s="58">
        <v>140920.89000000001</v>
      </c>
      <c r="T2" s="58">
        <v>147794.85</v>
      </c>
      <c r="U2" s="58">
        <v>154533.06</v>
      </c>
      <c r="V2" s="58">
        <v>161135.54999999999</v>
      </c>
      <c r="W2" s="58">
        <v>167612</v>
      </c>
      <c r="X2" s="58">
        <v>173952.72</v>
      </c>
      <c r="Y2" s="58">
        <v>180167.38</v>
      </c>
      <c r="Z2" s="58">
        <v>186256.03</v>
      </c>
      <c r="AA2" s="58">
        <v>1804407.93</v>
      </c>
      <c r="AB2" s="58">
        <v>192228.32</v>
      </c>
      <c r="AC2" s="58">
        <v>198074.57</v>
      </c>
      <c r="AD2" s="58">
        <v>203804.48</v>
      </c>
      <c r="AE2" s="58">
        <v>209427.75</v>
      </c>
      <c r="AF2" s="58">
        <v>214934.66</v>
      </c>
      <c r="AG2" s="58">
        <v>220334.94</v>
      </c>
      <c r="AH2" s="58">
        <v>225618.86</v>
      </c>
      <c r="AI2" s="58">
        <v>230805.84</v>
      </c>
      <c r="AJ2" s="58">
        <v>235886.17</v>
      </c>
      <c r="AK2" s="58">
        <v>240859.83</v>
      </c>
      <c r="AL2" s="58">
        <v>245736.57</v>
      </c>
      <c r="AM2" s="58">
        <v>250516.33</v>
      </c>
      <c r="AN2" s="58">
        <v>2668228.3199999998</v>
      </c>
      <c r="AO2" s="58">
        <v>255199.16</v>
      </c>
      <c r="AP2" s="58">
        <v>259794.73</v>
      </c>
      <c r="AQ2" s="58">
        <v>264293.33</v>
      </c>
      <c r="AR2" s="58">
        <v>268704.69</v>
      </c>
      <c r="AS2" s="58">
        <v>273028.78999999998</v>
      </c>
      <c r="AT2" s="58">
        <v>277265.61</v>
      </c>
      <c r="AU2" s="58">
        <v>281415.2</v>
      </c>
      <c r="AV2" s="58">
        <v>285477.52</v>
      </c>
      <c r="AW2" s="58">
        <v>289462.28000000003</v>
      </c>
      <c r="AX2" s="58">
        <v>293369.48</v>
      </c>
      <c r="AY2" s="58">
        <v>297199.11</v>
      </c>
      <c r="AZ2" s="58">
        <v>300951.19</v>
      </c>
      <c r="BA2" s="58">
        <v>3346161.09</v>
      </c>
      <c r="BB2" s="58">
        <v>304625.69</v>
      </c>
      <c r="BC2" s="58">
        <v>308232.34999999998</v>
      </c>
      <c r="BD2" s="58">
        <v>311761.42</v>
      </c>
      <c r="BE2" s="58">
        <v>315222.64</v>
      </c>
      <c r="BF2" s="58">
        <v>318615.98</v>
      </c>
      <c r="BG2" s="58">
        <v>321941.46999999997</v>
      </c>
      <c r="BH2" s="58">
        <v>325199.09000000003</v>
      </c>
      <c r="BI2" s="58">
        <v>328388.83</v>
      </c>
      <c r="BJ2" s="58">
        <v>331520.40000000002</v>
      </c>
      <c r="BK2" s="58">
        <v>334584.11</v>
      </c>
      <c r="BL2" s="58">
        <v>337589.65</v>
      </c>
      <c r="BM2" s="58">
        <v>340537.01</v>
      </c>
      <c r="BN2" s="58">
        <v>3878218.64</v>
      </c>
      <c r="BO2" s="58">
        <v>343426.21</v>
      </c>
      <c r="BP2" s="58">
        <v>346257.22</v>
      </c>
      <c r="BQ2" s="58">
        <v>349030.08</v>
      </c>
      <c r="BR2" s="58">
        <v>351744.76</v>
      </c>
      <c r="BS2" s="58">
        <v>354401.26</v>
      </c>
      <c r="BT2" s="58">
        <v>357009.29</v>
      </c>
      <c r="BU2" s="58">
        <v>359568.85</v>
      </c>
      <c r="BV2" s="58">
        <v>362070.23</v>
      </c>
      <c r="BW2" s="58">
        <v>364523.13</v>
      </c>
      <c r="BX2" s="58">
        <v>366927.57</v>
      </c>
      <c r="BY2" s="58">
        <v>369283.51</v>
      </c>
      <c r="BZ2" s="58">
        <v>371591</v>
      </c>
      <c r="CA2" s="58">
        <v>4295833.1100000003</v>
      </c>
      <c r="CB2" s="58">
        <v>373849.99</v>
      </c>
      <c r="CC2" s="58">
        <v>376070.21</v>
      </c>
      <c r="CD2" s="58">
        <v>378241.96</v>
      </c>
      <c r="CE2" s="58">
        <v>380374.91</v>
      </c>
      <c r="CF2" s="58">
        <v>382459.4</v>
      </c>
      <c r="CG2" s="58">
        <v>384505.11</v>
      </c>
      <c r="CH2" s="58">
        <v>386512.03</v>
      </c>
      <c r="CI2" s="58">
        <v>388480.17</v>
      </c>
      <c r="CJ2" s="58">
        <v>390409.53</v>
      </c>
      <c r="CK2" s="58">
        <v>392300.11</v>
      </c>
      <c r="CL2" s="58">
        <v>394151.91</v>
      </c>
      <c r="CM2" s="58">
        <v>395964.93</v>
      </c>
      <c r="CN2" s="58">
        <v>4623320.26</v>
      </c>
      <c r="CO2" s="58">
        <v>21319561.920000002</v>
      </c>
    </row>
    <row r="3" spans="1:93" ht="14.4" x14ac:dyDescent="0.3">
      <c r="A3" s="56" t="s">
        <v>280</v>
      </c>
      <c r="B3" s="58">
        <v>8358</v>
      </c>
      <c r="C3" s="58">
        <v>16548.84</v>
      </c>
      <c r="D3" s="58">
        <v>24572.52</v>
      </c>
      <c r="E3" s="58">
        <v>32437.4</v>
      </c>
      <c r="F3" s="58">
        <v>40143.47</v>
      </c>
      <c r="G3" s="58">
        <v>47699.11</v>
      </c>
      <c r="H3" s="58">
        <v>55104.29</v>
      </c>
      <c r="I3" s="58">
        <v>62359.040000000001</v>
      </c>
      <c r="J3" s="58">
        <v>69471.7</v>
      </c>
      <c r="K3" s="58">
        <v>76442.27</v>
      </c>
      <c r="L3" s="58">
        <v>83270.75</v>
      </c>
      <c r="M3" s="58">
        <v>89965.51</v>
      </c>
      <c r="N3" s="58">
        <v>606372.9</v>
      </c>
      <c r="O3" s="58">
        <v>96526.54</v>
      </c>
      <c r="P3" s="58">
        <v>102953.84</v>
      </c>
      <c r="Q3" s="58">
        <v>109255.78</v>
      </c>
      <c r="R3" s="58">
        <v>115432.34</v>
      </c>
      <c r="S3" s="58">
        <v>121483.53</v>
      </c>
      <c r="T3" s="58">
        <v>127409.35</v>
      </c>
      <c r="U3" s="58">
        <v>133218.16</v>
      </c>
      <c r="V3" s="58">
        <v>138909.96</v>
      </c>
      <c r="W3" s="58">
        <v>144493.1</v>
      </c>
      <c r="X3" s="58">
        <v>149959.24</v>
      </c>
      <c r="Y3" s="58">
        <v>155316.71</v>
      </c>
      <c r="Z3" s="58">
        <v>160565.54</v>
      </c>
      <c r="AA3" s="58">
        <v>1555524.09</v>
      </c>
      <c r="AB3" s="58">
        <v>165714.07</v>
      </c>
      <c r="AC3" s="58">
        <v>170753.94</v>
      </c>
      <c r="AD3" s="58">
        <v>175693.52</v>
      </c>
      <c r="AE3" s="58">
        <v>180541.16</v>
      </c>
      <c r="AF3" s="58">
        <v>185288.5</v>
      </c>
      <c r="AG3" s="58">
        <v>189943.91</v>
      </c>
      <c r="AH3" s="58">
        <v>194499.02</v>
      </c>
      <c r="AI3" s="58">
        <v>198970.55</v>
      </c>
      <c r="AJ3" s="58">
        <v>203350.14</v>
      </c>
      <c r="AK3" s="58">
        <v>207637.79</v>
      </c>
      <c r="AL3" s="58">
        <v>211841.87</v>
      </c>
      <c r="AM3" s="58">
        <v>215962.36</v>
      </c>
      <c r="AN3" s="58">
        <v>2300196.83</v>
      </c>
      <c r="AO3" s="58">
        <v>219999.28</v>
      </c>
      <c r="AP3" s="58">
        <v>223960.97</v>
      </c>
      <c r="AQ3" s="58">
        <v>227839.08</v>
      </c>
      <c r="AR3" s="58">
        <v>231641.97</v>
      </c>
      <c r="AS3" s="58">
        <v>235369.64</v>
      </c>
      <c r="AT3" s="58">
        <v>239022.07999999999</v>
      </c>
      <c r="AU3" s="58">
        <v>242599.31</v>
      </c>
      <c r="AV3" s="58">
        <v>246101.31</v>
      </c>
      <c r="AW3" s="58">
        <v>249536.45</v>
      </c>
      <c r="AX3" s="58">
        <v>252904.72</v>
      </c>
      <c r="AY3" s="58">
        <v>256206.13</v>
      </c>
      <c r="AZ3" s="58">
        <v>259440.68</v>
      </c>
      <c r="BA3" s="58">
        <v>2884621.62</v>
      </c>
      <c r="BB3" s="58">
        <v>262608.36</v>
      </c>
      <c r="BC3" s="58">
        <v>265717.53999999998</v>
      </c>
      <c r="BD3" s="58">
        <v>268759.84999999998</v>
      </c>
      <c r="BE3" s="58">
        <v>271743.65000000002</v>
      </c>
      <c r="BF3" s="58">
        <v>274668.95</v>
      </c>
      <c r="BG3" s="58">
        <v>277535.75</v>
      </c>
      <c r="BH3" s="58">
        <v>280344.03999999998</v>
      </c>
      <c r="BI3" s="58">
        <v>283093.82</v>
      </c>
      <c r="BJ3" s="58">
        <v>285793.45</v>
      </c>
      <c r="BK3" s="58">
        <v>288434.58</v>
      </c>
      <c r="BL3" s="58">
        <v>291025.56</v>
      </c>
      <c r="BM3" s="58">
        <v>293566.39</v>
      </c>
      <c r="BN3" s="58">
        <v>3343291.94</v>
      </c>
      <c r="BO3" s="58">
        <v>296057.08</v>
      </c>
      <c r="BP3" s="58">
        <v>298497.61</v>
      </c>
      <c r="BQ3" s="58">
        <v>300888</v>
      </c>
      <c r="BR3" s="58">
        <v>303228.24</v>
      </c>
      <c r="BS3" s="58">
        <v>305518.33</v>
      </c>
      <c r="BT3" s="58">
        <v>307766.63</v>
      </c>
      <c r="BU3" s="58">
        <v>309973.15000000002</v>
      </c>
      <c r="BV3" s="58">
        <v>312129.51</v>
      </c>
      <c r="BW3" s="58">
        <v>314244.08</v>
      </c>
      <c r="BX3" s="58">
        <v>316316.87</v>
      </c>
      <c r="BY3" s="58">
        <v>318347.86</v>
      </c>
      <c r="BZ3" s="58">
        <v>320337.07</v>
      </c>
      <c r="CA3" s="58">
        <v>3703304.43</v>
      </c>
      <c r="CB3" s="58">
        <v>322284.48</v>
      </c>
      <c r="CC3" s="58">
        <v>324198.46000000002</v>
      </c>
      <c r="CD3" s="58">
        <v>326070.65000000002</v>
      </c>
      <c r="CE3" s="58">
        <v>327909.40999999997</v>
      </c>
      <c r="CF3" s="58">
        <v>329706.38</v>
      </c>
      <c r="CG3" s="58">
        <v>331469.92</v>
      </c>
      <c r="CH3" s="58">
        <v>333200.03000000003</v>
      </c>
      <c r="CI3" s="58">
        <v>334896.7</v>
      </c>
      <c r="CJ3" s="58">
        <v>336559.94</v>
      </c>
      <c r="CK3" s="58">
        <v>338189.75</v>
      </c>
      <c r="CL3" s="58">
        <v>339786.13</v>
      </c>
      <c r="CM3" s="58">
        <v>341349.08</v>
      </c>
      <c r="CN3" s="58">
        <v>3985620.93</v>
      </c>
      <c r="CO3" s="58">
        <v>18378932.739999998</v>
      </c>
    </row>
    <row r="4" spans="1:93" ht="14.4" x14ac:dyDescent="0.3">
      <c r="A4" s="56" t="s">
        <v>191</v>
      </c>
      <c r="B4" s="58">
        <v>1337.28</v>
      </c>
      <c r="C4" s="58">
        <v>2647.82</v>
      </c>
      <c r="D4" s="58">
        <v>3931.61</v>
      </c>
      <c r="E4" s="58">
        <v>5189.9799999999996</v>
      </c>
      <c r="F4" s="58">
        <v>6422.96</v>
      </c>
      <c r="G4" s="58">
        <v>7631.86</v>
      </c>
      <c r="H4" s="58">
        <v>8816.68</v>
      </c>
      <c r="I4" s="58">
        <v>9977.4500000000007</v>
      </c>
      <c r="J4" s="58">
        <v>11115.47</v>
      </c>
      <c r="K4" s="58">
        <v>12230.76</v>
      </c>
      <c r="L4" s="58">
        <v>13323.32</v>
      </c>
      <c r="M4" s="58">
        <v>14394.48</v>
      </c>
      <c r="N4" s="58">
        <v>97019.67</v>
      </c>
      <c r="O4" s="58">
        <v>15444.24</v>
      </c>
      <c r="P4" s="58">
        <v>16472.61</v>
      </c>
      <c r="Q4" s="58">
        <v>17480.919999999998</v>
      </c>
      <c r="R4" s="58">
        <v>18469.18</v>
      </c>
      <c r="S4" s="58">
        <v>19437.36</v>
      </c>
      <c r="T4" s="58">
        <v>20385.5</v>
      </c>
      <c r="U4" s="58">
        <v>21314.9</v>
      </c>
      <c r="V4" s="58">
        <v>22225.59</v>
      </c>
      <c r="W4" s="58">
        <v>23118.9</v>
      </c>
      <c r="X4" s="58">
        <v>23993.48</v>
      </c>
      <c r="Y4" s="58">
        <v>24850.67</v>
      </c>
      <c r="Z4" s="58">
        <v>25690.49</v>
      </c>
      <c r="AA4" s="58">
        <v>248883.84</v>
      </c>
      <c r="AB4" s="58">
        <v>26514.25</v>
      </c>
      <c r="AC4" s="58">
        <v>27320.63</v>
      </c>
      <c r="AD4" s="58">
        <v>28110.959999999999</v>
      </c>
      <c r="AE4" s="58">
        <v>28886.59</v>
      </c>
      <c r="AF4" s="58">
        <v>29646.16</v>
      </c>
      <c r="AG4" s="58">
        <v>30391.03</v>
      </c>
      <c r="AH4" s="58">
        <v>31119.84</v>
      </c>
      <c r="AI4" s="58">
        <v>31835.29</v>
      </c>
      <c r="AJ4" s="58">
        <v>32536.03</v>
      </c>
      <c r="AK4" s="58">
        <v>33222.04</v>
      </c>
      <c r="AL4" s="58">
        <v>33894.699999999997</v>
      </c>
      <c r="AM4" s="58">
        <v>34553.97</v>
      </c>
      <c r="AN4" s="58">
        <v>368031.49</v>
      </c>
      <c r="AO4" s="58">
        <v>35199.879999999997</v>
      </c>
      <c r="AP4" s="58">
        <v>35833.760000000002</v>
      </c>
      <c r="AQ4" s="58">
        <v>36454.25</v>
      </c>
      <c r="AR4" s="58">
        <v>37062.720000000001</v>
      </c>
      <c r="AS4" s="58">
        <v>37659.15</v>
      </c>
      <c r="AT4" s="58">
        <v>38243.53</v>
      </c>
      <c r="AU4" s="58">
        <v>38815.89</v>
      </c>
      <c r="AV4" s="58">
        <v>39376.21</v>
      </c>
      <c r="AW4" s="58">
        <v>39925.83</v>
      </c>
      <c r="AX4" s="58">
        <v>40464.76</v>
      </c>
      <c r="AY4" s="58">
        <v>40992.980000000003</v>
      </c>
      <c r="AZ4" s="58">
        <v>41510.51</v>
      </c>
      <c r="BA4" s="58">
        <v>461539.47</v>
      </c>
      <c r="BB4" s="58">
        <v>42017.33</v>
      </c>
      <c r="BC4" s="58">
        <v>42514.81</v>
      </c>
      <c r="BD4" s="58">
        <v>43001.57</v>
      </c>
      <c r="BE4" s="58">
        <v>43478.99</v>
      </c>
      <c r="BF4" s="58">
        <v>43947.03</v>
      </c>
      <c r="BG4" s="58">
        <v>44405.72</v>
      </c>
      <c r="BH4" s="58">
        <v>44855.05</v>
      </c>
      <c r="BI4" s="58">
        <v>45295.01</v>
      </c>
      <c r="BJ4" s="58">
        <v>45726.95</v>
      </c>
      <c r="BK4" s="58">
        <v>46149.53</v>
      </c>
      <c r="BL4" s="58">
        <v>46564.09</v>
      </c>
      <c r="BM4" s="58">
        <v>46970.62</v>
      </c>
      <c r="BN4" s="58">
        <v>534926.69999999995</v>
      </c>
      <c r="BO4" s="58">
        <v>47369.13</v>
      </c>
      <c r="BP4" s="58">
        <v>47759.61</v>
      </c>
      <c r="BQ4" s="58">
        <v>48142.080000000002</v>
      </c>
      <c r="BR4" s="58">
        <v>48516.52</v>
      </c>
      <c r="BS4" s="58">
        <v>48882.93</v>
      </c>
      <c r="BT4" s="58">
        <v>49242.66</v>
      </c>
      <c r="BU4" s="58">
        <v>49595.7</v>
      </c>
      <c r="BV4" s="58">
        <v>49940.72</v>
      </c>
      <c r="BW4" s="58">
        <v>50279.05</v>
      </c>
      <c r="BX4" s="58">
        <v>50610.7</v>
      </c>
      <c r="BY4" s="58">
        <v>50935.65</v>
      </c>
      <c r="BZ4" s="58">
        <v>51253.93</v>
      </c>
      <c r="CA4" s="58">
        <v>592528.68000000005</v>
      </c>
      <c r="CB4" s="58">
        <v>51565.51</v>
      </c>
      <c r="CC4" s="58">
        <v>51871.75</v>
      </c>
      <c r="CD4" s="58">
        <v>52171.31</v>
      </c>
      <c r="CE4" s="58">
        <v>52465.5</v>
      </c>
      <c r="CF4" s="58">
        <v>52753.02</v>
      </c>
      <c r="CG4" s="58">
        <v>53035.19</v>
      </c>
      <c r="CH4" s="58">
        <v>53312</v>
      </c>
      <c r="CI4" s="58">
        <v>53583.47</v>
      </c>
      <c r="CJ4" s="58">
        <v>53849.59</v>
      </c>
      <c r="CK4" s="58">
        <v>54110.36</v>
      </c>
      <c r="CL4" s="58">
        <v>54365.78</v>
      </c>
      <c r="CM4" s="58">
        <v>54615.85</v>
      </c>
      <c r="CN4" s="58">
        <v>637699.32999999996</v>
      </c>
      <c r="CO4" s="58">
        <v>2940629.18</v>
      </c>
    </row>
    <row r="5" spans="1:93" ht="14.4" x14ac:dyDescent="0.3">
      <c r="A5" s="56" t="s">
        <v>281</v>
      </c>
      <c r="B5" s="58">
        <v>9695.2800000000007</v>
      </c>
      <c r="C5" s="58">
        <v>19196.66</v>
      </c>
      <c r="D5" s="58">
        <v>28504.13</v>
      </c>
      <c r="E5" s="58">
        <v>37627.379999999997</v>
      </c>
      <c r="F5" s="58">
        <v>46566.43</v>
      </c>
      <c r="G5" s="58">
        <v>55330.97</v>
      </c>
      <c r="H5" s="58">
        <v>63920.97</v>
      </c>
      <c r="I5" s="58">
        <v>72336.490000000005</v>
      </c>
      <c r="J5" s="58">
        <v>80587.17</v>
      </c>
      <c r="K5" s="58">
        <v>88673.03</v>
      </c>
      <c r="L5" s="58">
        <v>96594.07</v>
      </c>
      <c r="M5" s="58">
        <v>104359.99</v>
      </c>
      <c r="N5" s="58">
        <v>703392.57</v>
      </c>
      <c r="O5" s="58">
        <v>111970.78</v>
      </c>
      <c r="P5" s="58">
        <v>119426.45</v>
      </c>
      <c r="Q5" s="58">
        <v>126736.7</v>
      </c>
      <c r="R5" s="58">
        <v>133901.51999999999</v>
      </c>
      <c r="S5" s="58">
        <v>140920.89000000001</v>
      </c>
      <c r="T5" s="58">
        <v>147794.85</v>
      </c>
      <c r="U5" s="58">
        <v>154533.06</v>
      </c>
      <c r="V5" s="58">
        <v>161135.54999999999</v>
      </c>
      <c r="W5" s="58">
        <v>167612</v>
      </c>
      <c r="X5" s="58">
        <v>173952.72</v>
      </c>
      <c r="Y5" s="58">
        <v>180167.38</v>
      </c>
      <c r="Z5" s="58">
        <v>186256.03</v>
      </c>
      <c r="AA5" s="58">
        <v>1804407.93</v>
      </c>
      <c r="AB5" s="58">
        <v>192228.32</v>
      </c>
      <c r="AC5" s="58">
        <v>198074.57</v>
      </c>
      <c r="AD5" s="58">
        <v>203804.48</v>
      </c>
      <c r="AE5" s="58">
        <v>209427.75</v>
      </c>
      <c r="AF5" s="58">
        <v>214934.66</v>
      </c>
      <c r="AG5" s="58">
        <v>220334.94</v>
      </c>
      <c r="AH5" s="58">
        <v>225618.86</v>
      </c>
      <c r="AI5" s="58">
        <v>230805.84</v>
      </c>
      <c r="AJ5" s="58">
        <v>235886.17</v>
      </c>
      <c r="AK5" s="58">
        <v>240859.83</v>
      </c>
      <c r="AL5" s="58">
        <v>245736.57</v>
      </c>
      <c r="AM5" s="58">
        <v>250516.33</v>
      </c>
      <c r="AN5" s="58">
        <v>2668228.3199999998</v>
      </c>
      <c r="AO5" s="58">
        <v>255199.16</v>
      </c>
      <c r="AP5" s="58">
        <v>259794.73</v>
      </c>
      <c r="AQ5" s="58">
        <v>264293.33</v>
      </c>
      <c r="AR5" s="58">
        <v>268704.69</v>
      </c>
      <c r="AS5" s="58">
        <v>273028.78999999998</v>
      </c>
      <c r="AT5" s="58">
        <v>277265.61</v>
      </c>
      <c r="AU5" s="58">
        <v>281415.2</v>
      </c>
      <c r="AV5" s="58">
        <v>285477.52</v>
      </c>
      <c r="AW5" s="58">
        <v>289462.28000000003</v>
      </c>
      <c r="AX5" s="58">
        <v>293369.48</v>
      </c>
      <c r="AY5" s="58">
        <v>297199.11</v>
      </c>
      <c r="AZ5" s="58">
        <v>300951.19</v>
      </c>
      <c r="BA5" s="58">
        <v>3346161.09</v>
      </c>
      <c r="BB5" s="58">
        <v>304625.69</v>
      </c>
      <c r="BC5" s="58">
        <v>308232.34999999998</v>
      </c>
      <c r="BD5" s="58">
        <v>311761.42</v>
      </c>
      <c r="BE5" s="58">
        <v>315222.64</v>
      </c>
      <c r="BF5" s="58">
        <v>318615.98</v>
      </c>
      <c r="BG5" s="58">
        <v>321941.46999999997</v>
      </c>
      <c r="BH5" s="58">
        <v>325199.09000000003</v>
      </c>
      <c r="BI5" s="58">
        <v>328388.83</v>
      </c>
      <c r="BJ5" s="58">
        <v>331520.40000000002</v>
      </c>
      <c r="BK5" s="58">
        <v>334584.11</v>
      </c>
      <c r="BL5" s="58">
        <v>337589.65</v>
      </c>
      <c r="BM5" s="58">
        <v>340537.01</v>
      </c>
      <c r="BN5" s="58">
        <v>3878218.64</v>
      </c>
      <c r="BO5" s="58">
        <v>343426.21</v>
      </c>
      <c r="BP5" s="58">
        <v>346257.22</v>
      </c>
      <c r="BQ5" s="58">
        <v>349030.08</v>
      </c>
      <c r="BR5" s="58">
        <v>351744.76</v>
      </c>
      <c r="BS5" s="58">
        <v>354401.26</v>
      </c>
      <c r="BT5" s="58">
        <v>357009.29</v>
      </c>
      <c r="BU5" s="58">
        <v>359568.85</v>
      </c>
      <c r="BV5" s="58">
        <v>362070.23</v>
      </c>
      <c r="BW5" s="58">
        <v>364523.13</v>
      </c>
      <c r="BX5" s="58">
        <v>366927.57</v>
      </c>
      <c r="BY5" s="58">
        <v>369283.51</v>
      </c>
      <c r="BZ5" s="58">
        <v>371591</v>
      </c>
      <c r="CA5" s="58">
        <v>4295833.1100000003</v>
      </c>
      <c r="CB5" s="58">
        <v>373849.99</v>
      </c>
      <c r="CC5" s="58">
        <v>376070.21</v>
      </c>
      <c r="CD5" s="58">
        <v>378241.96</v>
      </c>
      <c r="CE5" s="58">
        <v>380374.91</v>
      </c>
      <c r="CF5" s="58">
        <v>382459.4</v>
      </c>
      <c r="CG5" s="58">
        <v>384505.11</v>
      </c>
      <c r="CH5" s="58">
        <v>386512.03</v>
      </c>
      <c r="CI5" s="58">
        <v>388480.17</v>
      </c>
      <c r="CJ5" s="58">
        <v>390409.53</v>
      </c>
      <c r="CK5" s="58">
        <v>392300.11</v>
      </c>
      <c r="CL5" s="58">
        <v>394151.91</v>
      </c>
      <c r="CM5" s="58">
        <v>395964.93</v>
      </c>
      <c r="CN5" s="58">
        <v>4623320.26</v>
      </c>
      <c r="CO5" s="58">
        <v>21319561.920000002</v>
      </c>
    </row>
    <row r="6" spans="1:93" ht="14.4" x14ac:dyDescent="0.3">
      <c r="A6" s="56" t="s">
        <v>282</v>
      </c>
      <c r="B6" s="58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58">
        <v>0</v>
      </c>
      <c r="AZ6" s="58">
        <v>0</v>
      </c>
      <c r="BA6" s="58">
        <v>0</v>
      </c>
      <c r="BB6" s="58">
        <v>0</v>
      </c>
      <c r="BC6" s="58">
        <v>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8">
        <v>0</v>
      </c>
      <c r="BZ6" s="58">
        <v>0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0</v>
      </c>
      <c r="CM6" s="58">
        <v>0</v>
      </c>
      <c r="CN6" s="58">
        <v>0</v>
      </c>
      <c r="CO6" s="58">
        <v>0</v>
      </c>
    </row>
    <row r="7" spans="1:93" ht="14.4" x14ac:dyDescent="0.3">
      <c r="A7" s="56" t="s">
        <v>283</v>
      </c>
      <c r="B7" s="58">
        <v>0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  <c r="AI7" s="58">
        <v>0</v>
      </c>
      <c r="AJ7" s="58">
        <v>0</v>
      </c>
      <c r="AK7" s="58">
        <v>0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58">
        <v>0</v>
      </c>
      <c r="AX7" s="58">
        <v>0</v>
      </c>
      <c r="AY7" s="58">
        <v>0</v>
      </c>
      <c r="AZ7" s="58">
        <v>0</v>
      </c>
      <c r="BA7" s="58">
        <v>0</v>
      </c>
      <c r="BB7" s="58">
        <v>0</v>
      </c>
      <c r="BC7" s="58">
        <v>0</v>
      </c>
      <c r="BD7" s="58">
        <v>0</v>
      </c>
      <c r="BE7" s="58">
        <v>0</v>
      </c>
      <c r="BF7" s="58">
        <v>0</v>
      </c>
      <c r="BG7" s="58">
        <v>0</v>
      </c>
      <c r="BH7" s="58">
        <v>0</v>
      </c>
      <c r="BI7" s="58">
        <v>0</v>
      </c>
      <c r="BJ7" s="58">
        <v>0</v>
      </c>
      <c r="BK7" s="58">
        <v>0</v>
      </c>
      <c r="BL7" s="58">
        <v>0</v>
      </c>
      <c r="BM7" s="58">
        <v>0</v>
      </c>
      <c r="BN7" s="58">
        <v>0</v>
      </c>
      <c r="BO7" s="58">
        <v>0</v>
      </c>
      <c r="BP7" s="58">
        <v>0</v>
      </c>
      <c r="BQ7" s="58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0</v>
      </c>
      <c r="BX7" s="58">
        <v>0</v>
      </c>
      <c r="BY7" s="58">
        <v>0</v>
      </c>
      <c r="BZ7" s="58">
        <v>0</v>
      </c>
      <c r="CA7" s="58">
        <v>0</v>
      </c>
      <c r="CB7" s="58">
        <v>0</v>
      </c>
      <c r="CC7" s="58">
        <v>0</v>
      </c>
      <c r="CD7" s="58">
        <v>0</v>
      </c>
      <c r="CE7" s="58">
        <v>0</v>
      </c>
      <c r="CF7" s="58">
        <v>0</v>
      </c>
      <c r="CG7" s="58">
        <v>0</v>
      </c>
      <c r="CH7" s="58">
        <v>0</v>
      </c>
      <c r="CI7" s="58">
        <v>0</v>
      </c>
      <c r="CJ7" s="58">
        <v>0</v>
      </c>
      <c r="CK7" s="58">
        <v>0</v>
      </c>
      <c r="CL7" s="58">
        <v>0</v>
      </c>
      <c r="CM7" s="58">
        <v>0</v>
      </c>
      <c r="CN7" s="58">
        <v>0</v>
      </c>
      <c r="CO7" s="58">
        <v>0</v>
      </c>
    </row>
    <row r="8" spans="1:93" ht="14.4" x14ac:dyDescent="0.3">
      <c r="A8" s="56" t="s">
        <v>284</v>
      </c>
      <c r="B8" s="58">
        <v>0</v>
      </c>
      <c r="C8" s="58">
        <v>0</v>
      </c>
      <c r="D8" s="58">
        <v>0</v>
      </c>
      <c r="E8" s="58">
        <v>0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58">
        <v>0</v>
      </c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  <c r="AY8" s="58">
        <v>0</v>
      </c>
      <c r="AZ8" s="58">
        <v>0</v>
      </c>
      <c r="BA8" s="58">
        <v>0</v>
      </c>
      <c r="BB8" s="58">
        <v>0</v>
      </c>
      <c r="BC8" s="58">
        <v>0</v>
      </c>
      <c r="BD8" s="58">
        <v>0</v>
      </c>
      <c r="BE8" s="58">
        <v>0</v>
      </c>
      <c r="BF8" s="58">
        <v>0</v>
      </c>
      <c r="BG8" s="58">
        <v>0</v>
      </c>
      <c r="BH8" s="58">
        <v>0</v>
      </c>
      <c r="BI8" s="58">
        <v>0</v>
      </c>
      <c r="BJ8" s="58">
        <v>0</v>
      </c>
      <c r="BK8" s="58">
        <v>0</v>
      </c>
      <c r="BL8" s="58">
        <v>0</v>
      </c>
      <c r="BM8" s="58">
        <v>0</v>
      </c>
      <c r="BN8" s="58">
        <v>0</v>
      </c>
      <c r="BO8" s="58">
        <v>0</v>
      </c>
      <c r="BP8" s="58">
        <v>0</v>
      </c>
      <c r="BQ8" s="58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0</v>
      </c>
      <c r="BX8" s="58">
        <v>0</v>
      </c>
      <c r="BY8" s="58">
        <v>0</v>
      </c>
      <c r="BZ8" s="58">
        <v>0</v>
      </c>
      <c r="CA8" s="58">
        <v>0</v>
      </c>
      <c r="CB8" s="58">
        <v>0</v>
      </c>
      <c r="CC8" s="58">
        <v>0</v>
      </c>
      <c r="CD8" s="58">
        <v>0</v>
      </c>
      <c r="CE8" s="58">
        <v>0</v>
      </c>
      <c r="CF8" s="58">
        <v>0</v>
      </c>
      <c r="CG8" s="58">
        <v>0</v>
      </c>
      <c r="CH8" s="58">
        <v>0</v>
      </c>
      <c r="CI8" s="58">
        <v>0</v>
      </c>
      <c r="CJ8" s="58">
        <v>0</v>
      </c>
      <c r="CK8" s="58">
        <v>0</v>
      </c>
      <c r="CL8" s="58">
        <v>0</v>
      </c>
      <c r="CM8" s="58">
        <v>0</v>
      </c>
      <c r="CN8" s="58">
        <v>0</v>
      </c>
      <c r="CO8" s="58">
        <v>0</v>
      </c>
    </row>
    <row r="9" spans="1:93" ht="14.4" x14ac:dyDescent="0.3">
      <c r="A9" s="56" t="s">
        <v>285</v>
      </c>
      <c r="B9" s="58">
        <v>0</v>
      </c>
      <c r="C9" s="58">
        <v>0</v>
      </c>
      <c r="D9" s="58">
        <v>0</v>
      </c>
      <c r="E9" s="58">
        <v>0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0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  <c r="AI9" s="58">
        <v>0</v>
      </c>
      <c r="AJ9" s="58">
        <v>0</v>
      </c>
      <c r="AK9" s="58">
        <v>0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58">
        <v>0</v>
      </c>
      <c r="AS9" s="58">
        <v>0</v>
      </c>
      <c r="AT9" s="58">
        <v>0</v>
      </c>
      <c r="AU9" s="58">
        <v>0</v>
      </c>
      <c r="AV9" s="58">
        <v>0</v>
      </c>
      <c r="AW9" s="58">
        <v>0</v>
      </c>
      <c r="AX9" s="58">
        <v>0</v>
      </c>
      <c r="AY9" s="58">
        <v>0</v>
      </c>
      <c r="AZ9" s="58">
        <v>0</v>
      </c>
      <c r="BA9" s="58">
        <v>0</v>
      </c>
      <c r="BB9" s="58">
        <v>0</v>
      </c>
      <c r="BC9" s="58">
        <v>0</v>
      </c>
      <c r="BD9" s="58">
        <v>0</v>
      </c>
      <c r="BE9" s="58">
        <v>0</v>
      </c>
      <c r="BF9" s="58">
        <v>0</v>
      </c>
      <c r="BG9" s="58">
        <v>0</v>
      </c>
      <c r="BH9" s="58">
        <v>0</v>
      </c>
      <c r="BI9" s="58">
        <v>0</v>
      </c>
      <c r="BJ9" s="58">
        <v>0</v>
      </c>
      <c r="BK9" s="58">
        <v>0</v>
      </c>
      <c r="BL9" s="58">
        <v>0</v>
      </c>
      <c r="BM9" s="58">
        <v>0</v>
      </c>
      <c r="BN9" s="58">
        <v>0</v>
      </c>
      <c r="BO9" s="58">
        <v>0</v>
      </c>
      <c r="BP9" s="58">
        <v>0</v>
      </c>
      <c r="BQ9" s="58">
        <v>0</v>
      </c>
      <c r="BR9" s="58">
        <v>0</v>
      </c>
      <c r="BS9" s="58">
        <v>0</v>
      </c>
      <c r="BT9" s="58">
        <v>0</v>
      </c>
      <c r="BU9" s="58">
        <v>0</v>
      </c>
      <c r="BV9" s="58">
        <v>0</v>
      </c>
      <c r="BW9" s="58">
        <v>0</v>
      </c>
      <c r="BX9" s="58">
        <v>0</v>
      </c>
      <c r="BY9" s="58">
        <v>0</v>
      </c>
      <c r="BZ9" s="58">
        <v>0</v>
      </c>
      <c r="CA9" s="58">
        <v>0</v>
      </c>
      <c r="CB9" s="58">
        <v>0</v>
      </c>
      <c r="CC9" s="58">
        <v>0</v>
      </c>
      <c r="CD9" s="58">
        <v>0</v>
      </c>
      <c r="CE9" s="58">
        <v>0</v>
      </c>
      <c r="CF9" s="58">
        <v>0</v>
      </c>
      <c r="CG9" s="58">
        <v>0</v>
      </c>
      <c r="CH9" s="58">
        <v>0</v>
      </c>
      <c r="CI9" s="58">
        <v>0</v>
      </c>
      <c r="CJ9" s="58">
        <v>0</v>
      </c>
      <c r="CK9" s="58">
        <v>0</v>
      </c>
      <c r="CL9" s="58">
        <v>0</v>
      </c>
      <c r="CM9" s="58">
        <v>0</v>
      </c>
      <c r="CN9" s="58">
        <v>0</v>
      </c>
      <c r="CO9" s="58">
        <v>0</v>
      </c>
    </row>
    <row r="10" spans="1:93" ht="14.4" x14ac:dyDescent="0.3">
      <c r="A10" s="56" t="s">
        <v>286</v>
      </c>
      <c r="B10" s="58">
        <v>9695.2800000000007</v>
      </c>
      <c r="C10" s="58">
        <v>19196.66</v>
      </c>
      <c r="D10" s="58">
        <v>28504.13</v>
      </c>
      <c r="E10" s="58">
        <v>37627.379999999997</v>
      </c>
      <c r="F10" s="58">
        <v>46566.43</v>
      </c>
      <c r="G10" s="58">
        <v>55330.97</v>
      </c>
      <c r="H10" s="58">
        <v>63920.97</v>
      </c>
      <c r="I10" s="58">
        <v>72336.490000000005</v>
      </c>
      <c r="J10" s="58">
        <v>80587.17</v>
      </c>
      <c r="K10" s="58">
        <v>88673.03</v>
      </c>
      <c r="L10" s="58">
        <v>96594.07</v>
      </c>
      <c r="M10" s="58">
        <v>104359.99</v>
      </c>
      <c r="N10" s="58">
        <v>703392.57</v>
      </c>
      <c r="O10" s="58">
        <v>111970.78</v>
      </c>
      <c r="P10" s="58">
        <v>119426.45</v>
      </c>
      <c r="Q10" s="58">
        <v>126736.7</v>
      </c>
      <c r="R10" s="58">
        <v>133901.51999999999</v>
      </c>
      <c r="S10" s="58">
        <v>140920.89000000001</v>
      </c>
      <c r="T10" s="58">
        <v>147794.85</v>
      </c>
      <c r="U10" s="58">
        <v>154533.06</v>
      </c>
      <c r="V10" s="58">
        <v>161135.54999999999</v>
      </c>
      <c r="W10" s="58">
        <v>167612</v>
      </c>
      <c r="X10" s="58">
        <v>173952.72</v>
      </c>
      <c r="Y10" s="58">
        <v>180167.38</v>
      </c>
      <c r="Z10" s="58">
        <v>186256.03</v>
      </c>
      <c r="AA10" s="58">
        <v>1804407.93</v>
      </c>
      <c r="AB10" s="58">
        <v>192228.32</v>
      </c>
      <c r="AC10" s="58">
        <v>198074.57</v>
      </c>
      <c r="AD10" s="58">
        <v>203804.48</v>
      </c>
      <c r="AE10" s="58">
        <v>209427.75</v>
      </c>
      <c r="AF10" s="58">
        <v>214934.66</v>
      </c>
      <c r="AG10" s="58">
        <v>220334.94</v>
      </c>
      <c r="AH10" s="58">
        <v>225618.86</v>
      </c>
      <c r="AI10" s="58">
        <v>230805.84</v>
      </c>
      <c r="AJ10" s="58">
        <v>235886.17</v>
      </c>
      <c r="AK10" s="58">
        <v>240859.83</v>
      </c>
      <c r="AL10" s="58">
        <v>245736.57</v>
      </c>
      <c r="AM10" s="58">
        <v>250516.33</v>
      </c>
      <c r="AN10" s="58">
        <v>2668228.3199999998</v>
      </c>
      <c r="AO10" s="58">
        <v>255199.16</v>
      </c>
      <c r="AP10" s="58">
        <v>259794.73</v>
      </c>
      <c r="AQ10" s="58">
        <v>264293.33</v>
      </c>
      <c r="AR10" s="58">
        <v>268704.69</v>
      </c>
      <c r="AS10" s="58">
        <v>273028.78999999998</v>
      </c>
      <c r="AT10" s="58">
        <v>277265.61</v>
      </c>
      <c r="AU10" s="58">
        <v>281415.2</v>
      </c>
      <c r="AV10" s="58">
        <v>285477.52</v>
      </c>
      <c r="AW10" s="58">
        <v>289462.28000000003</v>
      </c>
      <c r="AX10" s="58">
        <v>293369.48</v>
      </c>
      <c r="AY10" s="58">
        <v>297199.11</v>
      </c>
      <c r="AZ10" s="58">
        <v>300951.19</v>
      </c>
      <c r="BA10" s="58">
        <v>3346161.09</v>
      </c>
      <c r="BB10" s="58">
        <v>304625.69</v>
      </c>
      <c r="BC10" s="58">
        <v>308232.34999999998</v>
      </c>
      <c r="BD10" s="58">
        <v>311761.42</v>
      </c>
      <c r="BE10" s="58">
        <v>315222.64</v>
      </c>
      <c r="BF10" s="58">
        <v>318615.98</v>
      </c>
      <c r="BG10" s="58">
        <v>321941.46999999997</v>
      </c>
      <c r="BH10" s="58">
        <v>325199.09000000003</v>
      </c>
      <c r="BI10" s="58">
        <v>328388.83</v>
      </c>
      <c r="BJ10" s="58">
        <v>331520.40000000002</v>
      </c>
      <c r="BK10" s="58">
        <v>334584.11</v>
      </c>
      <c r="BL10" s="58">
        <v>337589.65</v>
      </c>
      <c r="BM10" s="58">
        <v>340537.01</v>
      </c>
      <c r="BN10" s="58">
        <v>3878218.64</v>
      </c>
      <c r="BO10" s="58">
        <v>343426.21</v>
      </c>
      <c r="BP10" s="58">
        <v>346257.22</v>
      </c>
      <c r="BQ10" s="58">
        <v>349030.08</v>
      </c>
      <c r="BR10" s="58">
        <v>351744.76</v>
      </c>
      <c r="BS10" s="58">
        <v>354401.26</v>
      </c>
      <c r="BT10" s="58">
        <v>357009.29</v>
      </c>
      <c r="BU10" s="58">
        <v>359568.85</v>
      </c>
      <c r="BV10" s="58">
        <v>362070.23</v>
      </c>
      <c r="BW10" s="58">
        <v>364523.13</v>
      </c>
      <c r="BX10" s="58">
        <v>366927.57</v>
      </c>
      <c r="BY10" s="58">
        <v>369283.51</v>
      </c>
      <c r="BZ10" s="58">
        <v>371591</v>
      </c>
      <c r="CA10" s="58">
        <v>4295833.1100000003</v>
      </c>
      <c r="CB10" s="58">
        <v>373849.99</v>
      </c>
      <c r="CC10" s="58">
        <v>376070.21</v>
      </c>
      <c r="CD10" s="58">
        <v>378241.96</v>
      </c>
      <c r="CE10" s="58">
        <v>380374.91</v>
      </c>
      <c r="CF10" s="58">
        <v>382459.4</v>
      </c>
      <c r="CG10" s="58">
        <v>384505.11</v>
      </c>
      <c r="CH10" s="58">
        <v>386512.03</v>
      </c>
      <c r="CI10" s="58">
        <v>388480.17</v>
      </c>
      <c r="CJ10" s="58">
        <v>390409.53</v>
      </c>
      <c r="CK10" s="58">
        <v>392300.11</v>
      </c>
      <c r="CL10" s="58">
        <v>394151.91</v>
      </c>
      <c r="CM10" s="58">
        <v>395964.93</v>
      </c>
      <c r="CN10" s="58">
        <v>4623320.26</v>
      </c>
      <c r="CO10" s="58">
        <v>21319561.920000002</v>
      </c>
    </row>
    <row r="11" spans="1:93" ht="14.4" x14ac:dyDescent="0.3">
      <c r="A11" s="56" t="s">
        <v>169</v>
      </c>
    </row>
    <row r="12" spans="1:93" ht="14.4" x14ac:dyDescent="0.3">
      <c r="A12" s="56" t="s">
        <v>287</v>
      </c>
      <c r="B12" s="58">
        <v>0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  <c r="AI12" s="58">
        <v>0</v>
      </c>
      <c r="AJ12" s="58">
        <v>0</v>
      </c>
      <c r="AK12" s="58">
        <v>0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58">
        <v>0</v>
      </c>
      <c r="AS12" s="58">
        <v>0</v>
      </c>
      <c r="AT12" s="58">
        <v>0</v>
      </c>
      <c r="AU12" s="58">
        <v>0</v>
      </c>
      <c r="AV12" s="58">
        <v>0</v>
      </c>
      <c r="AW12" s="58">
        <v>0</v>
      </c>
      <c r="AX12" s="58">
        <v>0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  <c r="BD12" s="58">
        <v>0</v>
      </c>
      <c r="BE12" s="58">
        <v>0</v>
      </c>
      <c r="BF12" s="58">
        <v>0</v>
      </c>
      <c r="BG12" s="58">
        <v>0</v>
      </c>
      <c r="BH12" s="58">
        <v>0</v>
      </c>
      <c r="BI12" s="58">
        <v>0</v>
      </c>
      <c r="BJ12" s="58">
        <v>0</v>
      </c>
      <c r="BK12" s="58">
        <v>0</v>
      </c>
      <c r="BL12" s="58">
        <v>0</v>
      </c>
      <c r="BM12" s="58">
        <v>0</v>
      </c>
      <c r="BN12" s="58">
        <v>0</v>
      </c>
      <c r="BO12" s="58">
        <v>0</v>
      </c>
      <c r="BP12" s="58">
        <v>0</v>
      </c>
      <c r="BQ12" s="58">
        <v>0</v>
      </c>
      <c r="BR12" s="58">
        <v>0</v>
      </c>
      <c r="BS12" s="58">
        <v>0</v>
      </c>
      <c r="BT12" s="58">
        <v>0</v>
      </c>
      <c r="BU12" s="58">
        <v>0</v>
      </c>
      <c r="BV12" s="58">
        <v>0</v>
      </c>
      <c r="BW12" s="58">
        <v>0</v>
      </c>
      <c r="BX12" s="58">
        <v>0</v>
      </c>
      <c r="BY12" s="58">
        <v>0</v>
      </c>
      <c r="BZ12" s="58">
        <v>0</v>
      </c>
      <c r="CA12" s="58">
        <v>0</v>
      </c>
      <c r="CB12" s="58">
        <v>0</v>
      </c>
      <c r="CC12" s="58">
        <v>0</v>
      </c>
      <c r="CD12" s="58">
        <v>0</v>
      </c>
      <c r="CE12" s="58">
        <v>0</v>
      </c>
      <c r="CF12" s="58">
        <v>0</v>
      </c>
      <c r="CG12" s="58">
        <v>0</v>
      </c>
      <c r="CH12" s="58">
        <v>0</v>
      </c>
      <c r="CI12" s="58">
        <v>0</v>
      </c>
      <c r="CJ12" s="58">
        <v>0</v>
      </c>
      <c r="CK12" s="58">
        <v>0</v>
      </c>
      <c r="CL12" s="58">
        <v>0</v>
      </c>
      <c r="CM12" s="58">
        <v>0</v>
      </c>
      <c r="CN12" s="58">
        <v>0</v>
      </c>
      <c r="CO12" s="58">
        <v>0</v>
      </c>
    </row>
    <row r="13" spans="1:93" ht="14.4" x14ac:dyDescent="0.3">
      <c r="A13" s="56" t="s">
        <v>288</v>
      </c>
      <c r="B13" s="58">
        <v>0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  <c r="AI13" s="58">
        <v>0</v>
      </c>
      <c r="AJ13" s="58">
        <v>0</v>
      </c>
      <c r="AK13" s="58">
        <v>0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v>0</v>
      </c>
      <c r="BI13" s="58">
        <v>0</v>
      </c>
      <c r="BJ13" s="58">
        <v>0</v>
      </c>
      <c r="BK13" s="58">
        <v>0</v>
      </c>
      <c r="BL13" s="58">
        <v>0</v>
      </c>
      <c r="BM13" s="58">
        <v>0</v>
      </c>
      <c r="BN13" s="58">
        <v>0</v>
      </c>
      <c r="BO13" s="58">
        <v>0</v>
      </c>
      <c r="BP13" s="58">
        <v>0</v>
      </c>
      <c r="BQ13" s="58">
        <v>0</v>
      </c>
      <c r="BR13" s="58">
        <v>0</v>
      </c>
      <c r="BS13" s="58">
        <v>0</v>
      </c>
      <c r="BT13" s="58">
        <v>0</v>
      </c>
      <c r="BU13" s="58">
        <v>0</v>
      </c>
      <c r="BV13" s="58">
        <v>0</v>
      </c>
      <c r="BW13" s="58">
        <v>0</v>
      </c>
      <c r="BX13" s="58">
        <v>0</v>
      </c>
      <c r="BY13" s="58">
        <v>0</v>
      </c>
      <c r="BZ13" s="58">
        <v>0</v>
      </c>
      <c r="CA13" s="58">
        <v>0</v>
      </c>
      <c r="CB13" s="58">
        <v>0</v>
      </c>
      <c r="CC13" s="58">
        <v>0</v>
      </c>
      <c r="CD13" s="58">
        <v>0</v>
      </c>
      <c r="CE13" s="58">
        <v>0</v>
      </c>
      <c r="CF13" s="58">
        <v>0</v>
      </c>
      <c r="CG13" s="58">
        <v>0</v>
      </c>
      <c r="CH13" s="58">
        <v>0</v>
      </c>
      <c r="CI13" s="58">
        <v>0</v>
      </c>
      <c r="CJ13" s="58">
        <v>0</v>
      </c>
      <c r="CK13" s="58">
        <v>0</v>
      </c>
      <c r="CL13" s="58">
        <v>0</v>
      </c>
      <c r="CM13" s="58">
        <v>0</v>
      </c>
      <c r="CN13" s="58">
        <v>0</v>
      </c>
      <c r="CO13" s="58">
        <v>0</v>
      </c>
    </row>
    <row r="14" spans="1:93" ht="14.4" x14ac:dyDescent="0.3">
      <c r="A14" s="56" t="s">
        <v>289</v>
      </c>
      <c r="B14" s="58">
        <v>0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  <c r="AI14" s="58">
        <v>0</v>
      </c>
      <c r="AJ14" s="58">
        <v>0</v>
      </c>
      <c r="AK14" s="58">
        <v>0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58">
        <v>0</v>
      </c>
      <c r="AS14" s="58">
        <v>0</v>
      </c>
      <c r="AT14" s="58">
        <v>0</v>
      </c>
      <c r="AU14" s="58">
        <v>0</v>
      </c>
      <c r="AV14" s="58">
        <v>0</v>
      </c>
      <c r="AW14" s="58">
        <v>0</v>
      </c>
      <c r="AX14" s="58">
        <v>0</v>
      </c>
      <c r="AY14" s="58">
        <v>0</v>
      </c>
      <c r="AZ14" s="58">
        <v>0</v>
      </c>
      <c r="BA14" s="58">
        <v>0</v>
      </c>
      <c r="BB14" s="58">
        <v>0</v>
      </c>
      <c r="BC14" s="58">
        <v>0</v>
      </c>
      <c r="BD14" s="58">
        <v>0</v>
      </c>
      <c r="BE14" s="58">
        <v>0</v>
      </c>
      <c r="BF14" s="58">
        <v>0</v>
      </c>
      <c r="BG14" s="58">
        <v>0</v>
      </c>
      <c r="BH14" s="58">
        <v>0</v>
      </c>
      <c r="BI14" s="58">
        <v>0</v>
      </c>
      <c r="BJ14" s="58">
        <v>0</v>
      </c>
      <c r="BK14" s="58">
        <v>0</v>
      </c>
      <c r="BL14" s="58">
        <v>0</v>
      </c>
      <c r="BM14" s="58">
        <v>0</v>
      </c>
      <c r="BN14" s="58">
        <v>0</v>
      </c>
      <c r="BO14" s="58">
        <v>0</v>
      </c>
      <c r="BP14" s="58">
        <v>0</v>
      </c>
      <c r="BQ14" s="58">
        <v>0</v>
      </c>
      <c r="BR14" s="58">
        <v>0</v>
      </c>
      <c r="BS14" s="58">
        <v>0</v>
      </c>
      <c r="BT14" s="58">
        <v>0</v>
      </c>
      <c r="BU14" s="58">
        <v>0</v>
      </c>
      <c r="BV14" s="58">
        <v>0</v>
      </c>
      <c r="BW14" s="58">
        <v>0</v>
      </c>
      <c r="BX14" s="58">
        <v>0</v>
      </c>
      <c r="BY14" s="58">
        <v>0</v>
      </c>
      <c r="BZ14" s="58">
        <v>0</v>
      </c>
      <c r="CA14" s="58">
        <v>0</v>
      </c>
      <c r="CB14" s="58">
        <v>0</v>
      </c>
      <c r="CC14" s="58">
        <v>0</v>
      </c>
      <c r="CD14" s="58">
        <v>0</v>
      </c>
      <c r="CE14" s="58">
        <v>0</v>
      </c>
      <c r="CF14" s="58">
        <v>0</v>
      </c>
      <c r="CG14" s="58">
        <v>0</v>
      </c>
      <c r="CH14" s="58">
        <v>0</v>
      </c>
      <c r="CI14" s="58">
        <v>0</v>
      </c>
      <c r="CJ14" s="58">
        <v>0</v>
      </c>
      <c r="CK14" s="58">
        <v>0</v>
      </c>
      <c r="CL14" s="58">
        <v>0</v>
      </c>
      <c r="CM14" s="58">
        <v>0</v>
      </c>
      <c r="CN14" s="58">
        <v>0</v>
      </c>
      <c r="CO14" s="58">
        <v>0</v>
      </c>
    </row>
    <row r="15" spans="1:93" ht="14.4" x14ac:dyDescent="0.3">
      <c r="A15" s="56" t="s">
        <v>169</v>
      </c>
    </row>
    <row r="16" spans="1:93" ht="14.4" x14ac:dyDescent="0.3">
      <c r="A16" s="56" t="s">
        <v>290</v>
      </c>
      <c r="B16" s="57">
        <v>0</v>
      </c>
      <c r="C16" s="57">
        <v>0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  <c r="Y16" s="57">
        <v>0</v>
      </c>
      <c r="Z16" s="57">
        <v>0</v>
      </c>
      <c r="AA16" s="57">
        <v>0</v>
      </c>
      <c r="AB16" s="57">
        <v>0</v>
      </c>
      <c r="AC16" s="57">
        <v>0</v>
      </c>
      <c r="AD16" s="57">
        <v>0</v>
      </c>
      <c r="AE16" s="57">
        <v>0</v>
      </c>
      <c r="AF16" s="57">
        <v>0</v>
      </c>
      <c r="AG16" s="57">
        <v>0</v>
      </c>
      <c r="AH16" s="57">
        <v>0</v>
      </c>
      <c r="AI16" s="57">
        <v>0</v>
      </c>
      <c r="AJ16" s="57">
        <v>0</v>
      </c>
      <c r="AK16" s="57">
        <v>0</v>
      </c>
      <c r="AL16" s="57">
        <v>0</v>
      </c>
      <c r="AM16" s="57">
        <v>0</v>
      </c>
      <c r="AN16" s="57">
        <v>0</v>
      </c>
      <c r="AO16" s="57">
        <v>0</v>
      </c>
      <c r="AP16" s="57">
        <v>0</v>
      </c>
      <c r="AQ16" s="57">
        <v>0</v>
      </c>
      <c r="AR16" s="57">
        <v>0</v>
      </c>
      <c r="AS16" s="57">
        <v>0</v>
      </c>
      <c r="AT16" s="57">
        <v>0</v>
      </c>
      <c r="AU16" s="57">
        <v>0</v>
      </c>
      <c r="AV16" s="57">
        <v>0</v>
      </c>
      <c r="AW16" s="57">
        <v>0</v>
      </c>
      <c r="AX16" s="57">
        <v>0</v>
      </c>
      <c r="AY16" s="57">
        <v>0</v>
      </c>
      <c r="AZ16" s="57">
        <v>0</v>
      </c>
      <c r="BA16" s="57">
        <v>0</v>
      </c>
      <c r="BB16" s="57">
        <v>0</v>
      </c>
      <c r="BC16" s="57">
        <v>0</v>
      </c>
      <c r="BD16" s="57">
        <v>0</v>
      </c>
      <c r="BE16" s="57">
        <v>0</v>
      </c>
      <c r="BF16" s="57">
        <v>0</v>
      </c>
      <c r="BG16" s="57">
        <v>0</v>
      </c>
      <c r="BH16" s="57">
        <v>0</v>
      </c>
      <c r="BI16" s="57">
        <v>0</v>
      </c>
      <c r="BJ16" s="57">
        <v>0</v>
      </c>
      <c r="BK16" s="57">
        <v>0</v>
      </c>
      <c r="BL16" s="57">
        <v>0</v>
      </c>
      <c r="BM16" s="57">
        <v>0</v>
      </c>
      <c r="BN16" s="57">
        <v>0</v>
      </c>
      <c r="BO16" s="57">
        <v>0</v>
      </c>
      <c r="BP16" s="57">
        <v>0</v>
      </c>
      <c r="BQ16" s="57">
        <v>0</v>
      </c>
      <c r="BR16" s="57">
        <v>0</v>
      </c>
      <c r="BS16" s="57">
        <v>0</v>
      </c>
      <c r="BT16" s="57">
        <v>0</v>
      </c>
      <c r="BU16" s="57">
        <v>0</v>
      </c>
      <c r="BV16" s="57">
        <v>0</v>
      </c>
      <c r="BW16" s="57">
        <v>0</v>
      </c>
      <c r="BX16" s="57">
        <v>0</v>
      </c>
      <c r="BY16" s="57">
        <v>0</v>
      </c>
      <c r="BZ16" s="57">
        <v>0</v>
      </c>
      <c r="CA16" s="57">
        <v>0</v>
      </c>
      <c r="CB16" s="57">
        <v>0</v>
      </c>
      <c r="CC16" s="57">
        <v>0</v>
      </c>
      <c r="CD16" s="57">
        <v>0</v>
      </c>
      <c r="CE16" s="57">
        <v>0</v>
      </c>
      <c r="CF16" s="57">
        <v>0</v>
      </c>
      <c r="CG16" s="57">
        <v>0</v>
      </c>
      <c r="CH16" s="57">
        <v>0</v>
      </c>
      <c r="CI16" s="57">
        <v>0</v>
      </c>
      <c r="CJ16" s="57">
        <v>0</v>
      </c>
      <c r="CK16" s="57">
        <v>0</v>
      </c>
      <c r="CL16" s="57">
        <v>0</v>
      </c>
      <c r="CM16" s="57">
        <v>0</v>
      </c>
      <c r="CN16" s="57">
        <v>0</v>
      </c>
      <c r="CO16" s="57">
        <v>0</v>
      </c>
    </row>
    <row r="17" spans="1:93" ht="14.4" x14ac:dyDescent="0.3">
      <c r="A17" s="56" t="s">
        <v>291</v>
      </c>
      <c r="B17" s="60">
        <v>0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>
        <v>0</v>
      </c>
      <c r="AX17" s="60">
        <v>0</v>
      </c>
      <c r="AY17" s="60">
        <v>0</v>
      </c>
      <c r="AZ17" s="60">
        <v>0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60">
        <v>0</v>
      </c>
      <c r="BJ17" s="60">
        <v>0</v>
      </c>
      <c r="BK17" s="60">
        <v>0</v>
      </c>
      <c r="BL17" s="60">
        <v>0</v>
      </c>
      <c r="BM17" s="60">
        <v>0</v>
      </c>
      <c r="BN17" s="60">
        <v>0</v>
      </c>
      <c r="BO17" s="60">
        <v>0</v>
      </c>
      <c r="BP17" s="60">
        <v>0</v>
      </c>
      <c r="BQ17" s="60">
        <v>0</v>
      </c>
      <c r="BR17" s="60">
        <v>0</v>
      </c>
      <c r="BS17" s="60">
        <v>0</v>
      </c>
      <c r="BT17" s="60">
        <v>0</v>
      </c>
      <c r="BU17" s="60">
        <v>0</v>
      </c>
      <c r="BV17" s="60">
        <v>0</v>
      </c>
      <c r="BW17" s="60">
        <v>0</v>
      </c>
      <c r="BX17" s="60">
        <v>0</v>
      </c>
      <c r="BY17" s="60">
        <v>0</v>
      </c>
      <c r="BZ17" s="60">
        <v>0</v>
      </c>
      <c r="CA17" s="60">
        <v>0</v>
      </c>
      <c r="CB17" s="60">
        <v>0</v>
      </c>
      <c r="CC17" s="60">
        <v>0</v>
      </c>
      <c r="CD17" s="60">
        <v>0</v>
      </c>
      <c r="CE17" s="60">
        <v>0</v>
      </c>
      <c r="CF17" s="60">
        <v>0</v>
      </c>
      <c r="CG17" s="60">
        <v>0</v>
      </c>
      <c r="CH17" s="60">
        <v>0</v>
      </c>
      <c r="CI17" s="60">
        <v>0</v>
      </c>
      <c r="CJ17" s="60">
        <v>0</v>
      </c>
      <c r="CK17" s="60">
        <v>0</v>
      </c>
      <c r="CL17" s="60">
        <v>0</v>
      </c>
      <c r="CM17" s="60">
        <v>0</v>
      </c>
      <c r="CN17" s="60">
        <v>0</v>
      </c>
      <c r="CO17" s="60">
        <v>0</v>
      </c>
    </row>
    <row r="21" spans="1:93" ht="15.75" customHeight="1" x14ac:dyDescent="0.3"/>
    <row r="22" spans="1:93" ht="15.75" customHeight="1" x14ac:dyDescent="0.3"/>
    <row r="23" spans="1:93" ht="15.75" customHeight="1" x14ac:dyDescent="0.3"/>
    <row r="24" spans="1:93" ht="15.75" customHeight="1" x14ac:dyDescent="0.3"/>
    <row r="25" spans="1:93" ht="15.75" customHeight="1" x14ac:dyDescent="0.3"/>
    <row r="26" spans="1:93" ht="15.75" customHeight="1" x14ac:dyDescent="0.3"/>
    <row r="27" spans="1:93" ht="15.75" customHeight="1" x14ac:dyDescent="0.3"/>
    <row r="28" spans="1:93" ht="15.75" customHeight="1" x14ac:dyDescent="0.3"/>
    <row r="29" spans="1:93" ht="15.75" customHeight="1" x14ac:dyDescent="0.3"/>
    <row r="30" spans="1:93" ht="15.75" customHeight="1" x14ac:dyDescent="0.3"/>
    <row r="31" spans="1:93" ht="15.75" customHeight="1" x14ac:dyDescent="0.3"/>
    <row r="32" spans="1:9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292</v>
      </c>
      <c r="B2" s="58">
        <v>16190</v>
      </c>
      <c r="C2" s="58">
        <v>18650.8</v>
      </c>
      <c r="D2" s="58">
        <v>21059.4</v>
      </c>
      <c r="E2" s="58">
        <v>23421.31</v>
      </c>
      <c r="F2" s="58">
        <v>26757.53</v>
      </c>
      <c r="G2" s="58">
        <v>30159.57</v>
      </c>
      <c r="H2" s="58">
        <v>33494.43</v>
      </c>
      <c r="I2" s="58">
        <v>36761.11</v>
      </c>
      <c r="J2" s="58">
        <v>39964.120000000003</v>
      </c>
      <c r="K2" s="58">
        <v>43103.46</v>
      </c>
      <c r="L2" s="58">
        <v>46178.13</v>
      </c>
      <c r="M2" s="58">
        <v>49192.639999999999</v>
      </c>
      <c r="N2" s="58">
        <v>384932.5</v>
      </c>
      <c r="O2" s="58">
        <v>51809.99</v>
      </c>
      <c r="P2" s="58">
        <v>54640.18</v>
      </c>
      <c r="Q2" s="58">
        <v>57414.720000000001</v>
      </c>
      <c r="R2" s="58">
        <v>60134.61</v>
      </c>
      <c r="S2" s="58">
        <v>62798.85</v>
      </c>
      <c r="T2" s="58">
        <v>65408.44</v>
      </c>
      <c r="U2" s="58">
        <v>67965.89</v>
      </c>
      <c r="V2" s="58">
        <v>70472.2</v>
      </c>
      <c r="W2" s="58">
        <v>72930.880000000005</v>
      </c>
      <c r="X2" s="58">
        <v>75337.42</v>
      </c>
      <c r="Y2" s="58">
        <v>77696.33</v>
      </c>
      <c r="Z2" s="58">
        <v>80007.61</v>
      </c>
      <c r="AA2" s="58">
        <v>796617.12</v>
      </c>
      <c r="AB2" s="58">
        <v>80616.77</v>
      </c>
      <c r="AC2" s="58">
        <v>82786.3</v>
      </c>
      <c r="AD2" s="58">
        <v>85787.71</v>
      </c>
      <c r="AE2" s="58">
        <v>87873.51</v>
      </c>
      <c r="AF2" s="58">
        <v>89916.19</v>
      </c>
      <c r="AG2" s="58">
        <v>91919.26</v>
      </c>
      <c r="AH2" s="58">
        <v>93879.21</v>
      </c>
      <c r="AI2" s="58">
        <v>95804.06</v>
      </c>
      <c r="AJ2" s="58">
        <v>97688.3</v>
      </c>
      <c r="AK2" s="58">
        <v>99532.93</v>
      </c>
      <c r="AL2" s="58">
        <v>101342.46</v>
      </c>
      <c r="AM2" s="58">
        <v>103115.89</v>
      </c>
      <c r="AN2" s="58">
        <v>1110262.5900000001</v>
      </c>
      <c r="AO2" s="58">
        <v>102459.02</v>
      </c>
      <c r="AP2" s="58">
        <v>104317.96</v>
      </c>
      <c r="AQ2" s="58">
        <v>105947.6</v>
      </c>
      <c r="AR2" s="58">
        <v>107546.65</v>
      </c>
      <c r="AS2" s="58">
        <v>109113.11</v>
      </c>
      <c r="AT2" s="58">
        <v>110647.98</v>
      </c>
      <c r="AU2" s="58">
        <v>112151.26</v>
      </c>
      <c r="AV2" s="58">
        <v>113623.95</v>
      </c>
      <c r="AW2" s="58">
        <v>115067.56</v>
      </c>
      <c r="AX2" s="58">
        <v>116483.09</v>
      </c>
      <c r="AY2" s="58">
        <v>118498.54</v>
      </c>
      <c r="AZ2" s="58">
        <v>119857.91</v>
      </c>
      <c r="BA2" s="58">
        <v>1335714.6299999999</v>
      </c>
      <c r="BB2" s="58">
        <v>118563.2</v>
      </c>
      <c r="BC2" s="58">
        <v>133124.79999999999</v>
      </c>
      <c r="BD2" s="58">
        <v>134525.54999999999</v>
      </c>
      <c r="BE2" s="58">
        <v>135898.81</v>
      </c>
      <c r="BF2" s="58">
        <v>137245.57999999999</v>
      </c>
      <c r="BG2" s="58">
        <v>138564.85</v>
      </c>
      <c r="BH2" s="58">
        <v>139857.62</v>
      </c>
      <c r="BI2" s="58">
        <v>141123.9</v>
      </c>
      <c r="BJ2" s="58">
        <v>142366.60999999999</v>
      </c>
      <c r="BK2" s="58">
        <v>143581.82999999999</v>
      </c>
      <c r="BL2" s="58">
        <v>144774.48000000001</v>
      </c>
      <c r="BM2" s="58">
        <v>131471.74</v>
      </c>
      <c r="BN2" s="58">
        <v>1641098.97</v>
      </c>
      <c r="BO2" s="58">
        <v>130807.22</v>
      </c>
      <c r="BP2" s="58">
        <v>131797.14000000001</v>
      </c>
      <c r="BQ2" s="58">
        <v>132766</v>
      </c>
      <c r="BR2" s="58">
        <v>133713.79999999999</v>
      </c>
      <c r="BS2" s="58">
        <v>134642.54</v>
      </c>
      <c r="BT2" s="58">
        <v>135553.73000000001</v>
      </c>
      <c r="BU2" s="58">
        <v>136448.37</v>
      </c>
      <c r="BV2" s="58">
        <v>137321.95000000001</v>
      </c>
      <c r="BW2" s="58">
        <v>138178.98000000001</v>
      </c>
      <c r="BX2" s="58">
        <v>139019.46</v>
      </c>
      <c r="BY2" s="58">
        <v>139842.39000000001</v>
      </c>
      <c r="BZ2" s="58">
        <v>140648.76999999999</v>
      </c>
      <c r="CA2" s="58">
        <v>1630740.35</v>
      </c>
      <c r="CB2" s="58">
        <v>139826.6</v>
      </c>
      <c r="CC2" s="58">
        <v>140592.39000000001</v>
      </c>
      <c r="CD2" s="58">
        <v>141342.63</v>
      </c>
      <c r="CE2" s="58">
        <v>142077.82999999999</v>
      </c>
      <c r="CF2" s="58">
        <v>142797.48000000001</v>
      </c>
      <c r="CG2" s="58">
        <v>143503.09</v>
      </c>
      <c r="CH2" s="58">
        <v>144196.66</v>
      </c>
      <c r="CI2" s="58">
        <v>144875.19</v>
      </c>
      <c r="CJ2" s="58">
        <v>146168.68</v>
      </c>
      <c r="CK2" s="58">
        <v>147069.13</v>
      </c>
      <c r="CL2" s="58">
        <v>147708.54</v>
      </c>
      <c r="CM2" s="58">
        <v>148333.91</v>
      </c>
      <c r="CN2" s="58">
        <v>1728492.13</v>
      </c>
      <c r="CO2" s="58">
        <v>8627858.2899999991</v>
      </c>
    </row>
    <row r="3" spans="1:93" ht="14.4" x14ac:dyDescent="0.3">
      <c r="A3" s="56" t="s">
        <v>293</v>
      </c>
      <c r="B3" s="58">
        <v>2510</v>
      </c>
      <c r="C3" s="58">
        <v>4969.8</v>
      </c>
      <c r="D3" s="58">
        <v>7379.4</v>
      </c>
      <c r="E3" s="58">
        <v>9741.31</v>
      </c>
      <c r="F3" s="58">
        <v>12055.53</v>
      </c>
      <c r="G3" s="58">
        <v>14324.57</v>
      </c>
      <c r="H3" s="58">
        <v>16548.43</v>
      </c>
      <c r="I3" s="58">
        <v>18727.11</v>
      </c>
      <c r="J3" s="58">
        <v>20863.12</v>
      </c>
      <c r="K3" s="58">
        <v>22956.46</v>
      </c>
      <c r="L3" s="58">
        <v>25007.13</v>
      </c>
      <c r="M3" s="58">
        <v>27017.64</v>
      </c>
      <c r="N3" s="58">
        <v>182100.5</v>
      </c>
      <c r="O3" s="58">
        <v>28987.99</v>
      </c>
      <c r="P3" s="58">
        <v>30918.18</v>
      </c>
      <c r="Q3" s="58">
        <v>32810.720000000001</v>
      </c>
      <c r="R3" s="58">
        <v>34665.61</v>
      </c>
      <c r="S3" s="58">
        <v>36482.85</v>
      </c>
      <c r="T3" s="58">
        <v>38262.44</v>
      </c>
      <c r="U3" s="58">
        <v>40006.89</v>
      </c>
      <c r="V3" s="58">
        <v>41716.199999999997</v>
      </c>
      <c r="W3" s="58">
        <v>43392.88</v>
      </c>
      <c r="X3" s="58">
        <v>45034.42</v>
      </c>
      <c r="Y3" s="58">
        <v>46643.33</v>
      </c>
      <c r="Z3" s="58">
        <v>48219.61</v>
      </c>
      <c r="AA3" s="58">
        <v>467141.12</v>
      </c>
      <c r="AB3" s="58">
        <v>49765.77</v>
      </c>
      <c r="AC3" s="58">
        <v>51279.3</v>
      </c>
      <c r="AD3" s="58">
        <v>52762.71</v>
      </c>
      <c r="AE3" s="58">
        <v>54218.51</v>
      </c>
      <c r="AF3" s="58">
        <v>55644.19</v>
      </c>
      <c r="AG3" s="58">
        <v>57042.26</v>
      </c>
      <c r="AH3" s="58">
        <v>58410.21</v>
      </c>
      <c r="AI3" s="58">
        <v>59753.06</v>
      </c>
      <c r="AJ3" s="58">
        <v>61068.3</v>
      </c>
      <c r="AK3" s="58">
        <v>62355.93</v>
      </c>
      <c r="AL3" s="58">
        <v>63618.46</v>
      </c>
      <c r="AM3" s="58">
        <v>64855.89</v>
      </c>
      <c r="AN3" s="58">
        <v>690774.59</v>
      </c>
      <c r="AO3" s="58">
        <v>65875.02</v>
      </c>
      <c r="AP3" s="58">
        <v>67257.960000000006</v>
      </c>
      <c r="AQ3" s="58">
        <v>68422.600000000006</v>
      </c>
      <c r="AR3" s="58">
        <v>69564.649999999994</v>
      </c>
      <c r="AS3" s="58">
        <v>70684.11</v>
      </c>
      <c r="AT3" s="58">
        <v>71780.98</v>
      </c>
      <c r="AU3" s="58">
        <v>72855.259999999995</v>
      </c>
      <c r="AV3" s="58">
        <v>73906.95</v>
      </c>
      <c r="AW3" s="58">
        <v>74938.559999999998</v>
      </c>
      <c r="AX3" s="58">
        <v>75950.09</v>
      </c>
      <c r="AY3" s="58">
        <v>76941.539999999994</v>
      </c>
      <c r="AZ3" s="58">
        <v>77912.91</v>
      </c>
      <c r="BA3" s="58">
        <v>866090.63</v>
      </c>
      <c r="BB3" s="58">
        <v>78864.2</v>
      </c>
      <c r="BC3" s="58">
        <v>79797.919999999998</v>
      </c>
      <c r="BD3" s="58">
        <v>80711.56</v>
      </c>
      <c r="BE3" s="58">
        <v>81607.63</v>
      </c>
      <c r="BF3" s="58">
        <v>82486.13</v>
      </c>
      <c r="BG3" s="58">
        <v>83347.06</v>
      </c>
      <c r="BH3" s="58">
        <v>84190.42</v>
      </c>
      <c r="BI3" s="58">
        <v>85016.21</v>
      </c>
      <c r="BJ3" s="58">
        <v>85826.94</v>
      </c>
      <c r="BK3" s="58">
        <v>86620.1</v>
      </c>
      <c r="BL3" s="58">
        <v>87398.2</v>
      </c>
      <c r="BM3" s="58">
        <v>88161.24</v>
      </c>
      <c r="BN3" s="58">
        <v>1004027.61</v>
      </c>
      <c r="BO3" s="58">
        <v>88909.22</v>
      </c>
      <c r="BP3" s="58">
        <v>89642.14</v>
      </c>
      <c r="BQ3" s="58">
        <v>90360</v>
      </c>
      <c r="BR3" s="58">
        <v>91062.8</v>
      </c>
      <c r="BS3" s="58">
        <v>91750.54</v>
      </c>
      <c r="BT3" s="58">
        <v>92425.73</v>
      </c>
      <c r="BU3" s="58">
        <v>93088.37</v>
      </c>
      <c r="BV3" s="58">
        <v>93735.95</v>
      </c>
      <c r="BW3" s="58">
        <v>94370.98</v>
      </c>
      <c r="BX3" s="58">
        <v>94993.46</v>
      </c>
      <c r="BY3" s="58">
        <v>95603.39</v>
      </c>
      <c r="BZ3" s="58">
        <v>96200.77</v>
      </c>
      <c r="CA3" s="58">
        <v>1112143.3500000001</v>
      </c>
      <c r="CB3" s="58">
        <v>96785.600000000006</v>
      </c>
      <c r="CC3" s="58">
        <v>97360.39</v>
      </c>
      <c r="CD3" s="58">
        <v>97922.63</v>
      </c>
      <c r="CE3" s="58">
        <v>98474.83</v>
      </c>
      <c r="CF3" s="58">
        <v>99014.48</v>
      </c>
      <c r="CG3" s="58">
        <v>99544.09</v>
      </c>
      <c r="CH3" s="58">
        <v>100063.66</v>
      </c>
      <c r="CI3" s="58">
        <v>100573.19</v>
      </c>
      <c r="CJ3" s="58">
        <v>101072.68</v>
      </c>
      <c r="CK3" s="58">
        <v>101562.13</v>
      </c>
      <c r="CL3" s="58">
        <v>102041.54</v>
      </c>
      <c r="CM3" s="58">
        <v>102510.91</v>
      </c>
      <c r="CN3" s="58">
        <v>1196926.1299999999</v>
      </c>
      <c r="CO3" s="58">
        <v>5519203.9299999997</v>
      </c>
    </row>
    <row r="4" spans="1:93" ht="14.4" x14ac:dyDescent="0.3">
      <c r="A4" s="56" t="s">
        <v>294</v>
      </c>
      <c r="B4" s="58">
        <v>0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0</v>
      </c>
      <c r="U4" s="58">
        <v>0</v>
      </c>
      <c r="V4" s="58">
        <v>0</v>
      </c>
      <c r="W4" s="58">
        <v>0</v>
      </c>
      <c r="X4" s="58">
        <v>0</v>
      </c>
      <c r="Y4" s="58">
        <v>0</v>
      </c>
      <c r="Z4" s="58">
        <v>0</v>
      </c>
      <c r="AA4" s="58">
        <v>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0</v>
      </c>
      <c r="AW4" s="58">
        <v>0</v>
      </c>
      <c r="AX4" s="58">
        <v>0</v>
      </c>
      <c r="AY4" s="58">
        <v>0</v>
      </c>
      <c r="AZ4" s="58">
        <v>0</v>
      </c>
      <c r="BA4" s="58">
        <v>0</v>
      </c>
      <c r="BB4" s="58">
        <v>0</v>
      </c>
      <c r="BC4" s="58">
        <v>0</v>
      </c>
      <c r="BD4" s="58">
        <v>0</v>
      </c>
      <c r="BE4" s="58">
        <v>0</v>
      </c>
      <c r="BF4" s="58">
        <v>0</v>
      </c>
      <c r="BG4" s="58">
        <v>0</v>
      </c>
      <c r="BH4" s="58">
        <v>0</v>
      </c>
      <c r="BI4" s="58">
        <v>0</v>
      </c>
      <c r="BJ4" s="58">
        <v>0</v>
      </c>
      <c r="BK4" s="58">
        <v>0</v>
      </c>
      <c r="BL4" s="58">
        <v>0</v>
      </c>
      <c r="BM4" s="58">
        <v>0</v>
      </c>
      <c r="BN4" s="58">
        <v>0</v>
      </c>
      <c r="BO4" s="58">
        <v>0</v>
      </c>
      <c r="BP4" s="58">
        <v>0</v>
      </c>
      <c r="BQ4" s="58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0</v>
      </c>
      <c r="BX4" s="58">
        <v>0</v>
      </c>
      <c r="BY4" s="58">
        <v>0</v>
      </c>
      <c r="BZ4" s="58">
        <v>0</v>
      </c>
      <c r="CA4" s="58">
        <v>0</v>
      </c>
      <c r="CB4" s="58">
        <v>0</v>
      </c>
      <c r="CC4" s="58">
        <v>0</v>
      </c>
      <c r="CD4" s="58">
        <v>0</v>
      </c>
      <c r="CE4" s="58">
        <v>0</v>
      </c>
      <c r="CF4" s="58">
        <v>0</v>
      </c>
      <c r="CG4" s="58">
        <v>0</v>
      </c>
      <c r="CH4" s="58">
        <v>0</v>
      </c>
      <c r="CI4" s="58">
        <v>0</v>
      </c>
      <c r="CJ4" s="58">
        <v>0</v>
      </c>
      <c r="CK4" s="58">
        <v>0</v>
      </c>
      <c r="CL4" s="58">
        <v>0</v>
      </c>
      <c r="CM4" s="58">
        <v>0</v>
      </c>
      <c r="CN4" s="58">
        <v>0</v>
      </c>
      <c r="CO4" s="58">
        <v>0</v>
      </c>
    </row>
    <row r="5" spans="1:93" ht="14.4" x14ac:dyDescent="0.3">
      <c r="A5" s="56" t="s">
        <v>295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v>0</v>
      </c>
      <c r="AJ5" s="58">
        <v>0</v>
      </c>
      <c r="AK5" s="58">
        <v>0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8">
        <v>0</v>
      </c>
      <c r="AS5" s="58">
        <v>0</v>
      </c>
      <c r="AT5" s="58">
        <v>0</v>
      </c>
      <c r="AU5" s="58">
        <v>0</v>
      </c>
      <c r="AV5" s="58">
        <v>0</v>
      </c>
      <c r="AW5" s="58">
        <v>0</v>
      </c>
      <c r="AX5" s="58">
        <v>0</v>
      </c>
      <c r="AY5" s="58">
        <v>0</v>
      </c>
      <c r="AZ5" s="58">
        <v>0</v>
      </c>
      <c r="BA5" s="58">
        <v>0</v>
      </c>
      <c r="BB5" s="58">
        <v>0</v>
      </c>
      <c r="BC5" s="58">
        <v>0</v>
      </c>
      <c r="BD5" s="58">
        <v>0</v>
      </c>
      <c r="BE5" s="58">
        <v>0</v>
      </c>
      <c r="BF5" s="58">
        <v>0</v>
      </c>
      <c r="BG5" s="58">
        <v>0</v>
      </c>
      <c r="BH5" s="58">
        <v>0</v>
      </c>
      <c r="BI5" s="58">
        <v>0</v>
      </c>
      <c r="BJ5" s="58">
        <v>0</v>
      </c>
      <c r="BK5" s="58">
        <v>0</v>
      </c>
      <c r="BL5" s="58">
        <v>0</v>
      </c>
      <c r="BM5" s="58">
        <v>0</v>
      </c>
      <c r="BN5" s="58">
        <v>0</v>
      </c>
      <c r="BO5" s="58">
        <v>0</v>
      </c>
      <c r="BP5" s="58">
        <v>0</v>
      </c>
      <c r="BQ5" s="58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0</v>
      </c>
      <c r="BX5" s="58">
        <v>0</v>
      </c>
      <c r="BY5" s="58">
        <v>0</v>
      </c>
      <c r="BZ5" s="58">
        <v>0</v>
      </c>
      <c r="CA5" s="58">
        <v>0</v>
      </c>
      <c r="CB5" s="58">
        <v>0</v>
      </c>
      <c r="CC5" s="58">
        <v>0</v>
      </c>
      <c r="CD5" s="58">
        <v>0</v>
      </c>
      <c r="CE5" s="58">
        <v>0</v>
      </c>
      <c r="CF5" s="58">
        <v>0</v>
      </c>
      <c r="CG5" s="58">
        <v>0</v>
      </c>
      <c r="CH5" s="58">
        <v>0</v>
      </c>
      <c r="CI5" s="58">
        <v>0</v>
      </c>
      <c r="CJ5" s="58">
        <v>0</v>
      </c>
      <c r="CK5" s="58">
        <v>0</v>
      </c>
      <c r="CL5" s="58">
        <v>0</v>
      </c>
      <c r="CM5" s="58">
        <v>0</v>
      </c>
      <c r="CN5" s="58">
        <v>0</v>
      </c>
      <c r="CO5" s="58">
        <v>0</v>
      </c>
    </row>
    <row r="6" spans="1:93" ht="14.4" x14ac:dyDescent="0.3">
      <c r="A6" s="56" t="s">
        <v>296</v>
      </c>
      <c r="B6" s="58">
        <v>13680</v>
      </c>
      <c r="C6" s="58">
        <v>13681</v>
      </c>
      <c r="D6" s="58">
        <v>13680</v>
      </c>
      <c r="E6" s="58">
        <v>13680</v>
      </c>
      <c r="F6" s="58">
        <v>14702</v>
      </c>
      <c r="G6" s="58">
        <v>15835</v>
      </c>
      <c r="H6" s="58">
        <v>16946</v>
      </c>
      <c r="I6" s="58">
        <v>18034</v>
      </c>
      <c r="J6" s="58">
        <v>19101</v>
      </c>
      <c r="K6" s="58">
        <v>20147</v>
      </c>
      <c r="L6" s="58">
        <v>21171</v>
      </c>
      <c r="M6" s="58">
        <v>22175</v>
      </c>
      <c r="N6" s="58">
        <v>202832</v>
      </c>
      <c r="O6" s="58">
        <v>22822</v>
      </c>
      <c r="P6" s="58">
        <v>23722</v>
      </c>
      <c r="Q6" s="58">
        <v>24604</v>
      </c>
      <c r="R6" s="58">
        <v>25469</v>
      </c>
      <c r="S6" s="58">
        <v>26316</v>
      </c>
      <c r="T6" s="58">
        <v>27146</v>
      </c>
      <c r="U6" s="58">
        <v>27959</v>
      </c>
      <c r="V6" s="58">
        <v>28756</v>
      </c>
      <c r="W6" s="58">
        <v>29538</v>
      </c>
      <c r="X6" s="58">
        <v>30303</v>
      </c>
      <c r="Y6" s="58">
        <v>31053</v>
      </c>
      <c r="Z6" s="58">
        <v>31788</v>
      </c>
      <c r="AA6" s="58">
        <v>329476</v>
      </c>
      <c r="AB6" s="58">
        <v>30851</v>
      </c>
      <c r="AC6" s="58">
        <v>31507</v>
      </c>
      <c r="AD6" s="58">
        <v>33025</v>
      </c>
      <c r="AE6" s="58">
        <v>33655</v>
      </c>
      <c r="AF6" s="58">
        <v>34272</v>
      </c>
      <c r="AG6" s="58">
        <v>34877</v>
      </c>
      <c r="AH6" s="58">
        <v>35469</v>
      </c>
      <c r="AI6" s="58">
        <v>36051</v>
      </c>
      <c r="AJ6" s="58">
        <v>36620</v>
      </c>
      <c r="AK6" s="58">
        <v>37177</v>
      </c>
      <c r="AL6" s="58">
        <v>37724</v>
      </c>
      <c r="AM6" s="58">
        <v>38260</v>
      </c>
      <c r="AN6" s="58">
        <v>419488</v>
      </c>
      <c r="AO6" s="58">
        <v>36584</v>
      </c>
      <c r="AP6" s="58">
        <v>37060</v>
      </c>
      <c r="AQ6" s="58">
        <v>37525</v>
      </c>
      <c r="AR6" s="58">
        <v>37982</v>
      </c>
      <c r="AS6" s="58">
        <v>38429</v>
      </c>
      <c r="AT6" s="58">
        <v>38867</v>
      </c>
      <c r="AU6" s="58">
        <v>39296</v>
      </c>
      <c r="AV6" s="58">
        <v>39717</v>
      </c>
      <c r="AW6" s="58">
        <v>40129</v>
      </c>
      <c r="AX6" s="58">
        <v>40533</v>
      </c>
      <c r="AY6" s="58">
        <v>41557</v>
      </c>
      <c r="AZ6" s="58">
        <v>41945</v>
      </c>
      <c r="BA6" s="58">
        <v>469624</v>
      </c>
      <c r="BB6" s="58">
        <v>39699</v>
      </c>
      <c r="BC6" s="58">
        <v>53326.879999999997</v>
      </c>
      <c r="BD6" s="58">
        <v>53813.99</v>
      </c>
      <c r="BE6" s="58">
        <v>54291.18</v>
      </c>
      <c r="BF6" s="58">
        <v>54759.45</v>
      </c>
      <c r="BG6" s="58">
        <v>55217.79</v>
      </c>
      <c r="BH6" s="58">
        <v>55667.199999999997</v>
      </c>
      <c r="BI6" s="58">
        <v>56107.69</v>
      </c>
      <c r="BJ6" s="58">
        <v>56539.67</v>
      </c>
      <c r="BK6" s="58">
        <v>56961.73</v>
      </c>
      <c r="BL6" s="58">
        <v>57376.28</v>
      </c>
      <c r="BM6" s="58">
        <v>43310.5</v>
      </c>
      <c r="BN6" s="58">
        <v>637071.35999999999</v>
      </c>
      <c r="BO6" s="58">
        <v>41898</v>
      </c>
      <c r="BP6" s="58">
        <v>42155</v>
      </c>
      <c r="BQ6" s="58">
        <v>42406</v>
      </c>
      <c r="BR6" s="58">
        <v>42651</v>
      </c>
      <c r="BS6" s="58">
        <v>42892</v>
      </c>
      <c r="BT6" s="58">
        <v>43128</v>
      </c>
      <c r="BU6" s="58">
        <v>43360</v>
      </c>
      <c r="BV6" s="58">
        <v>43586</v>
      </c>
      <c r="BW6" s="58">
        <v>43808</v>
      </c>
      <c r="BX6" s="58">
        <v>44026</v>
      </c>
      <c r="BY6" s="58">
        <v>44239</v>
      </c>
      <c r="BZ6" s="58">
        <v>44448</v>
      </c>
      <c r="CA6" s="58">
        <v>518597</v>
      </c>
      <c r="CB6" s="58">
        <v>43041</v>
      </c>
      <c r="CC6" s="58">
        <v>43232</v>
      </c>
      <c r="CD6" s="58">
        <v>43420</v>
      </c>
      <c r="CE6" s="58">
        <v>43603</v>
      </c>
      <c r="CF6" s="58">
        <v>43783</v>
      </c>
      <c r="CG6" s="58">
        <v>43959</v>
      </c>
      <c r="CH6" s="58">
        <v>44133</v>
      </c>
      <c r="CI6" s="58">
        <v>44302</v>
      </c>
      <c r="CJ6" s="58">
        <v>45096</v>
      </c>
      <c r="CK6" s="58">
        <v>45507</v>
      </c>
      <c r="CL6" s="58">
        <v>45667</v>
      </c>
      <c r="CM6" s="58">
        <v>45823</v>
      </c>
      <c r="CN6" s="58">
        <v>531566</v>
      </c>
      <c r="CO6" s="58">
        <v>3108654.36</v>
      </c>
    </row>
    <row r="7" spans="1:93" ht="14.4" x14ac:dyDescent="0.3">
      <c r="A7" s="56" t="s">
        <v>297</v>
      </c>
      <c r="B7" s="58">
        <v>16190</v>
      </c>
      <c r="C7" s="58">
        <v>18650.8</v>
      </c>
      <c r="D7" s="58">
        <v>21059.4</v>
      </c>
      <c r="E7" s="58">
        <v>23421.31</v>
      </c>
      <c r="F7" s="58">
        <v>26757.53</v>
      </c>
      <c r="G7" s="58">
        <v>30159.57</v>
      </c>
      <c r="H7" s="58">
        <v>33494.43</v>
      </c>
      <c r="I7" s="58">
        <v>36761.11</v>
      </c>
      <c r="J7" s="58">
        <v>39964.120000000003</v>
      </c>
      <c r="K7" s="58">
        <v>43103.46</v>
      </c>
      <c r="L7" s="58">
        <v>46178.13</v>
      </c>
      <c r="M7" s="58">
        <v>49192.639999999999</v>
      </c>
      <c r="N7" s="58">
        <v>384932.5</v>
      </c>
      <c r="O7" s="58">
        <v>51809.99</v>
      </c>
      <c r="P7" s="58">
        <v>54640.18</v>
      </c>
      <c r="Q7" s="58">
        <v>57414.720000000001</v>
      </c>
      <c r="R7" s="58">
        <v>60134.61</v>
      </c>
      <c r="S7" s="58">
        <v>62798.85</v>
      </c>
      <c r="T7" s="58">
        <v>65408.44</v>
      </c>
      <c r="U7" s="58">
        <v>67965.89</v>
      </c>
      <c r="V7" s="58">
        <v>70472.2</v>
      </c>
      <c r="W7" s="58">
        <v>72930.880000000005</v>
      </c>
      <c r="X7" s="58">
        <v>75337.42</v>
      </c>
      <c r="Y7" s="58">
        <v>77696.33</v>
      </c>
      <c r="Z7" s="58">
        <v>80007.61</v>
      </c>
      <c r="AA7" s="58">
        <v>796617.12</v>
      </c>
      <c r="AB7" s="58">
        <v>80616.77</v>
      </c>
      <c r="AC7" s="58">
        <v>82786.3</v>
      </c>
      <c r="AD7" s="58">
        <v>85787.71</v>
      </c>
      <c r="AE7" s="58">
        <v>87873.51</v>
      </c>
      <c r="AF7" s="58">
        <v>89916.19</v>
      </c>
      <c r="AG7" s="58">
        <v>91919.26</v>
      </c>
      <c r="AH7" s="58">
        <v>93879.21</v>
      </c>
      <c r="AI7" s="58">
        <v>95804.06</v>
      </c>
      <c r="AJ7" s="58">
        <v>97688.3</v>
      </c>
      <c r="AK7" s="58">
        <v>99532.93</v>
      </c>
      <c r="AL7" s="58">
        <v>101342.46</v>
      </c>
      <c r="AM7" s="58">
        <v>103115.89</v>
      </c>
      <c r="AN7" s="58">
        <v>1110262.5900000001</v>
      </c>
      <c r="AO7" s="58">
        <v>102459.02</v>
      </c>
      <c r="AP7" s="58">
        <v>104317.96</v>
      </c>
      <c r="AQ7" s="58">
        <v>105947.6</v>
      </c>
      <c r="AR7" s="58">
        <v>107546.65</v>
      </c>
      <c r="AS7" s="58">
        <v>109113.11</v>
      </c>
      <c r="AT7" s="58">
        <v>110647.98</v>
      </c>
      <c r="AU7" s="58">
        <v>112151.26</v>
      </c>
      <c r="AV7" s="58">
        <v>113623.95</v>
      </c>
      <c r="AW7" s="58">
        <v>115067.56</v>
      </c>
      <c r="AX7" s="58">
        <v>116483.09</v>
      </c>
      <c r="AY7" s="58">
        <v>118498.54</v>
      </c>
      <c r="AZ7" s="58">
        <v>119857.91</v>
      </c>
      <c r="BA7" s="58">
        <v>1335714.6299999999</v>
      </c>
      <c r="BB7" s="58">
        <v>118563.2</v>
      </c>
      <c r="BC7" s="58">
        <v>133124.79999999999</v>
      </c>
      <c r="BD7" s="58">
        <v>134525.54999999999</v>
      </c>
      <c r="BE7" s="58">
        <v>135898.81</v>
      </c>
      <c r="BF7" s="58">
        <v>137245.57999999999</v>
      </c>
      <c r="BG7" s="58">
        <v>138564.85</v>
      </c>
      <c r="BH7" s="58">
        <v>139857.62</v>
      </c>
      <c r="BI7" s="58">
        <v>141123.9</v>
      </c>
      <c r="BJ7" s="58">
        <v>142366.60999999999</v>
      </c>
      <c r="BK7" s="58">
        <v>143581.82999999999</v>
      </c>
      <c r="BL7" s="58">
        <v>144774.48000000001</v>
      </c>
      <c r="BM7" s="58">
        <v>131471.74</v>
      </c>
      <c r="BN7" s="58">
        <v>1641098.97</v>
      </c>
      <c r="BO7" s="58">
        <v>130807.22</v>
      </c>
      <c r="BP7" s="58">
        <v>131797.14000000001</v>
      </c>
      <c r="BQ7" s="58">
        <v>132766</v>
      </c>
      <c r="BR7" s="58">
        <v>133713.79999999999</v>
      </c>
      <c r="BS7" s="58">
        <v>134642.54</v>
      </c>
      <c r="BT7" s="58">
        <v>135553.73000000001</v>
      </c>
      <c r="BU7" s="58">
        <v>136448.37</v>
      </c>
      <c r="BV7" s="58">
        <v>137321.95000000001</v>
      </c>
      <c r="BW7" s="58">
        <v>138178.98000000001</v>
      </c>
      <c r="BX7" s="58">
        <v>139019.46</v>
      </c>
      <c r="BY7" s="58">
        <v>139842.39000000001</v>
      </c>
      <c r="BZ7" s="58">
        <v>140648.76999999999</v>
      </c>
      <c r="CA7" s="58">
        <v>1630740.35</v>
      </c>
      <c r="CB7" s="58">
        <v>139826.6</v>
      </c>
      <c r="CC7" s="58">
        <v>140592.39000000001</v>
      </c>
      <c r="CD7" s="58">
        <v>141342.63</v>
      </c>
      <c r="CE7" s="58">
        <v>142077.82999999999</v>
      </c>
      <c r="CF7" s="58">
        <v>142797.48000000001</v>
      </c>
      <c r="CG7" s="58">
        <v>143503.09</v>
      </c>
      <c r="CH7" s="58">
        <v>144196.66</v>
      </c>
      <c r="CI7" s="58">
        <v>144875.19</v>
      </c>
      <c r="CJ7" s="58">
        <v>146168.68</v>
      </c>
      <c r="CK7" s="58">
        <v>147069.13</v>
      </c>
      <c r="CL7" s="58">
        <v>147708.54</v>
      </c>
      <c r="CM7" s="58">
        <v>148333.91</v>
      </c>
      <c r="CN7" s="58">
        <v>1728492.13</v>
      </c>
      <c r="CO7" s="58">
        <v>8627858.2899999991</v>
      </c>
    </row>
    <row r="8" spans="1:93" ht="14.4" x14ac:dyDescent="0.3">
      <c r="A8" s="56" t="s">
        <v>298</v>
      </c>
      <c r="B8" s="58">
        <v>0</v>
      </c>
      <c r="C8" s="58">
        <v>0</v>
      </c>
      <c r="D8" s="58">
        <v>0</v>
      </c>
      <c r="E8" s="58">
        <v>0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58">
        <v>0</v>
      </c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  <c r="AY8" s="58">
        <v>0</v>
      </c>
      <c r="AZ8" s="58">
        <v>0</v>
      </c>
      <c r="BA8" s="58">
        <v>0</v>
      </c>
      <c r="BB8" s="58">
        <v>0</v>
      </c>
      <c r="BC8" s="58">
        <v>0</v>
      </c>
      <c r="BD8" s="58">
        <v>0</v>
      </c>
      <c r="BE8" s="58">
        <v>0</v>
      </c>
      <c r="BF8" s="58">
        <v>0</v>
      </c>
      <c r="BG8" s="58">
        <v>0</v>
      </c>
      <c r="BH8" s="58">
        <v>0</v>
      </c>
      <c r="BI8" s="58">
        <v>0</v>
      </c>
      <c r="BJ8" s="58">
        <v>0</v>
      </c>
      <c r="BK8" s="58">
        <v>0</v>
      </c>
      <c r="BL8" s="58">
        <v>0</v>
      </c>
      <c r="BM8" s="58">
        <v>0</v>
      </c>
      <c r="BN8" s="58">
        <v>0</v>
      </c>
      <c r="BO8" s="58">
        <v>0</v>
      </c>
      <c r="BP8" s="58">
        <v>0</v>
      </c>
      <c r="BQ8" s="58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0</v>
      </c>
      <c r="BX8" s="58">
        <v>0</v>
      </c>
      <c r="BY8" s="58">
        <v>0</v>
      </c>
      <c r="BZ8" s="58">
        <v>0</v>
      </c>
      <c r="CA8" s="58">
        <v>0</v>
      </c>
      <c r="CB8" s="58">
        <v>0</v>
      </c>
      <c r="CC8" s="58">
        <v>0</v>
      </c>
      <c r="CD8" s="58">
        <v>0</v>
      </c>
      <c r="CE8" s="58">
        <v>0</v>
      </c>
      <c r="CF8" s="58">
        <v>0</v>
      </c>
      <c r="CG8" s="58">
        <v>0</v>
      </c>
      <c r="CH8" s="58">
        <v>0</v>
      </c>
      <c r="CI8" s="58">
        <v>0</v>
      </c>
      <c r="CJ8" s="58">
        <v>0</v>
      </c>
      <c r="CK8" s="58">
        <v>0</v>
      </c>
      <c r="CL8" s="58">
        <v>0</v>
      </c>
      <c r="CM8" s="58">
        <v>0</v>
      </c>
      <c r="CN8" s="58">
        <v>0</v>
      </c>
      <c r="CO8" s="58">
        <v>0</v>
      </c>
    </row>
    <row r="9" spans="1:93" ht="14.4" x14ac:dyDescent="0.3">
      <c r="A9" s="56" t="s">
        <v>299</v>
      </c>
      <c r="B9" s="58">
        <v>8095</v>
      </c>
      <c r="C9" s="58">
        <v>17420.400000000001</v>
      </c>
      <c r="D9" s="58">
        <v>19855.099999999999</v>
      </c>
      <c r="E9" s="58">
        <v>22240.36</v>
      </c>
      <c r="F9" s="58">
        <v>25089.43</v>
      </c>
      <c r="G9" s="58">
        <v>28458.560000000001</v>
      </c>
      <c r="H9" s="58">
        <v>31827.01</v>
      </c>
      <c r="I9" s="58">
        <v>35127.78</v>
      </c>
      <c r="J9" s="58">
        <v>38362.620000000003</v>
      </c>
      <c r="K9" s="58">
        <v>41533.79</v>
      </c>
      <c r="L9" s="58">
        <v>44640.800000000003</v>
      </c>
      <c r="M9" s="58">
        <v>47685.39</v>
      </c>
      <c r="N9" s="58">
        <v>360336.24</v>
      </c>
      <c r="O9" s="58">
        <v>50501.32</v>
      </c>
      <c r="P9" s="58">
        <v>53225.09</v>
      </c>
      <c r="Q9" s="58">
        <v>56027.45</v>
      </c>
      <c r="R9" s="58">
        <v>58774.67</v>
      </c>
      <c r="S9" s="58">
        <v>61466.74</v>
      </c>
      <c r="T9" s="58">
        <v>64103.65</v>
      </c>
      <c r="U9" s="58">
        <v>66687.17</v>
      </c>
      <c r="V9" s="58">
        <v>69219.05</v>
      </c>
      <c r="W9" s="58">
        <v>71701.539999999994</v>
      </c>
      <c r="X9" s="58">
        <v>74134.149999999994</v>
      </c>
      <c r="Y9" s="58">
        <v>76516.88</v>
      </c>
      <c r="Z9" s="58">
        <v>78851.98</v>
      </c>
      <c r="AA9" s="58">
        <v>781209.69</v>
      </c>
      <c r="AB9" s="58">
        <v>80312.2</v>
      </c>
      <c r="AC9" s="58">
        <v>81701.539999999994</v>
      </c>
      <c r="AD9" s="58">
        <v>84287.01</v>
      </c>
      <c r="AE9" s="58">
        <v>86830.62</v>
      </c>
      <c r="AF9" s="58">
        <v>88894.86</v>
      </c>
      <c r="AG9" s="58">
        <v>90917.73</v>
      </c>
      <c r="AH9" s="58">
        <v>92899.24</v>
      </c>
      <c r="AI9" s="58">
        <v>94841.64</v>
      </c>
      <c r="AJ9" s="58">
        <v>96746.18</v>
      </c>
      <c r="AK9" s="58">
        <v>98610.62</v>
      </c>
      <c r="AL9" s="58">
        <v>100437.7</v>
      </c>
      <c r="AM9" s="58">
        <v>102229.18</v>
      </c>
      <c r="AN9" s="58">
        <v>1098708.52</v>
      </c>
      <c r="AO9" s="58">
        <v>102787.46</v>
      </c>
      <c r="AP9" s="58">
        <v>103388.49</v>
      </c>
      <c r="AQ9" s="58">
        <v>105132.78</v>
      </c>
      <c r="AR9" s="58">
        <v>106747.13</v>
      </c>
      <c r="AS9" s="58">
        <v>108329.89</v>
      </c>
      <c r="AT9" s="58">
        <v>109880.55</v>
      </c>
      <c r="AU9" s="58">
        <v>111399.62</v>
      </c>
      <c r="AV9" s="58">
        <v>112887.61</v>
      </c>
      <c r="AW9" s="58">
        <v>114345.76</v>
      </c>
      <c r="AX9" s="58">
        <v>115775.33</v>
      </c>
      <c r="AY9" s="58">
        <v>117490.82</v>
      </c>
      <c r="AZ9" s="58">
        <v>119178.23</v>
      </c>
      <c r="BA9" s="58">
        <v>1327343.67</v>
      </c>
      <c r="BB9" s="58">
        <v>119210.56</v>
      </c>
      <c r="BC9" s="58">
        <v>125844</v>
      </c>
      <c r="BD9" s="58">
        <v>133825.17000000001</v>
      </c>
      <c r="BE9" s="58">
        <v>135212.17000000001</v>
      </c>
      <c r="BF9" s="58">
        <v>136572.20000000001</v>
      </c>
      <c r="BG9" s="58">
        <v>137905.22</v>
      </c>
      <c r="BH9" s="58">
        <v>139211.24</v>
      </c>
      <c r="BI9" s="58">
        <v>140490.76</v>
      </c>
      <c r="BJ9" s="58">
        <v>141745.26</v>
      </c>
      <c r="BK9" s="58">
        <v>142974.22</v>
      </c>
      <c r="BL9" s="58">
        <v>144178.15</v>
      </c>
      <c r="BM9" s="58">
        <v>138123.10999999999</v>
      </c>
      <c r="BN9" s="58">
        <v>1635292.06</v>
      </c>
      <c r="BO9" s="58">
        <v>131139.48000000001</v>
      </c>
      <c r="BP9" s="58">
        <v>131302.18</v>
      </c>
      <c r="BQ9" s="58">
        <v>132281.57</v>
      </c>
      <c r="BR9" s="58">
        <v>133239.9</v>
      </c>
      <c r="BS9" s="58">
        <v>134178.17000000001</v>
      </c>
      <c r="BT9" s="58">
        <v>135098.14000000001</v>
      </c>
      <c r="BU9" s="58">
        <v>136001.06</v>
      </c>
      <c r="BV9" s="58">
        <v>136885.17000000001</v>
      </c>
      <c r="BW9" s="58">
        <v>137750.47</v>
      </c>
      <c r="BX9" s="58">
        <v>138599.22</v>
      </c>
      <c r="BY9" s="58">
        <v>139430.92000000001</v>
      </c>
      <c r="BZ9" s="58">
        <v>140245.59</v>
      </c>
      <c r="CA9" s="58">
        <v>1626151.87</v>
      </c>
      <c r="CB9" s="58">
        <v>140237.68</v>
      </c>
      <c r="CC9" s="58">
        <v>140209.5</v>
      </c>
      <c r="CD9" s="58">
        <v>140967.51999999999</v>
      </c>
      <c r="CE9" s="58">
        <v>141710.23000000001</v>
      </c>
      <c r="CF9" s="58">
        <v>142437.65</v>
      </c>
      <c r="CG9" s="58">
        <v>143150.29</v>
      </c>
      <c r="CH9" s="58">
        <v>143849.88</v>
      </c>
      <c r="CI9" s="58">
        <v>144535.92000000001</v>
      </c>
      <c r="CJ9" s="58">
        <v>145521.94</v>
      </c>
      <c r="CK9" s="58">
        <v>146618.91</v>
      </c>
      <c r="CL9" s="58">
        <v>147388.84</v>
      </c>
      <c r="CM9" s="58">
        <v>148021.23000000001</v>
      </c>
      <c r="CN9" s="58">
        <v>1724649.59</v>
      </c>
      <c r="CO9" s="58">
        <v>8553691.6400000006</v>
      </c>
    </row>
    <row r="10" spans="1:93" ht="14.4" x14ac:dyDescent="0.3">
      <c r="A10" s="56" t="s">
        <v>300</v>
      </c>
      <c r="B10" s="58">
        <v>8095</v>
      </c>
      <c r="C10" s="58">
        <v>17420.400000000001</v>
      </c>
      <c r="D10" s="58">
        <v>19855.099999999999</v>
      </c>
      <c r="E10" s="58">
        <v>22240.36</v>
      </c>
      <c r="F10" s="58">
        <v>25089.43</v>
      </c>
      <c r="G10" s="58">
        <v>28458.560000000001</v>
      </c>
      <c r="H10" s="58">
        <v>31827.01</v>
      </c>
      <c r="I10" s="58">
        <v>35127.78</v>
      </c>
      <c r="J10" s="58">
        <v>38362.620000000003</v>
      </c>
      <c r="K10" s="58">
        <v>41533.79</v>
      </c>
      <c r="L10" s="58">
        <v>44640.800000000003</v>
      </c>
      <c r="M10" s="58">
        <v>47685.39</v>
      </c>
      <c r="N10" s="58">
        <v>360336.24</v>
      </c>
      <c r="O10" s="58">
        <v>50501.32</v>
      </c>
      <c r="P10" s="58">
        <v>53225.09</v>
      </c>
      <c r="Q10" s="58">
        <v>56027.45</v>
      </c>
      <c r="R10" s="58">
        <v>58774.67</v>
      </c>
      <c r="S10" s="58">
        <v>61466.74</v>
      </c>
      <c r="T10" s="58">
        <v>64103.65</v>
      </c>
      <c r="U10" s="58">
        <v>66687.17</v>
      </c>
      <c r="V10" s="58">
        <v>69219.05</v>
      </c>
      <c r="W10" s="58">
        <v>71701.539999999994</v>
      </c>
      <c r="X10" s="58">
        <v>74134.149999999994</v>
      </c>
      <c r="Y10" s="58">
        <v>76516.88</v>
      </c>
      <c r="Z10" s="58">
        <v>78851.98</v>
      </c>
      <c r="AA10" s="58">
        <v>781209.69</v>
      </c>
      <c r="AB10" s="58">
        <v>80312.2</v>
      </c>
      <c r="AC10" s="58">
        <v>81701.539999999994</v>
      </c>
      <c r="AD10" s="58">
        <v>84287.01</v>
      </c>
      <c r="AE10" s="58">
        <v>86830.62</v>
      </c>
      <c r="AF10" s="58">
        <v>88894.86</v>
      </c>
      <c r="AG10" s="58">
        <v>90917.73</v>
      </c>
      <c r="AH10" s="58">
        <v>92899.24</v>
      </c>
      <c r="AI10" s="58">
        <v>94841.64</v>
      </c>
      <c r="AJ10" s="58">
        <v>96746.18</v>
      </c>
      <c r="AK10" s="58">
        <v>98610.62</v>
      </c>
      <c r="AL10" s="58">
        <v>100437.7</v>
      </c>
      <c r="AM10" s="58">
        <v>102229.18</v>
      </c>
      <c r="AN10" s="58">
        <v>1098708.52</v>
      </c>
      <c r="AO10" s="58">
        <v>102787.46</v>
      </c>
      <c r="AP10" s="58">
        <v>103388.49</v>
      </c>
      <c r="AQ10" s="58">
        <v>105132.78</v>
      </c>
      <c r="AR10" s="58">
        <v>106747.13</v>
      </c>
      <c r="AS10" s="58">
        <v>108329.89</v>
      </c>
      <c r="AT10" s="58">
        <v>109880.55</v>
      </c>
      <c r="AU10" s="58">
        <v>111399.62</v>
      </c>
      <c r="AV10" s="58">
        <v>112887.61</v>
      </c>
      <c r="AW10" s="58">
        <v>114345.76</v>
      </c>
      <c r="AX10" s="58">
        <v>115775.33</v>
      </c>
      <c r="AY10" s="58">
        <v>117490.82</v>
      </c>
      <c r="AZ10" s="58">
        <v>119178.23</v>
      </c>
      <c r="BA10" s="58">
        <v>1327343.67</v>
      </c>
      <c r="BB10" s="58">
        <v>119210.56</v>
      </c>
      <c r="BC10" s="58">
        <v>125844</v>
      </c>
      <c r="BD10" s="58">
        <v>133825.17000000001</v>
      </c>
      <c r="BE10" s="58">
        <v>135212.17000000001</v>
      </c>
      <c r="BF10" s="58">
        <v>136572.20000000001</v>
      </c>
      <c r="BG10" s="58">
        <v>137905.22</v>
      </c>
      <c r="BH10" s="58">
        <v>139211.24</v>
      </c>
      <c r="BI10" s="58">
        <v>140490.76</v>
      </c>
      <c r="BJ10" s="58">
        <v>141745.26</v>
      </c>
      <c r="BK10" s="58">
        <v>142974.22</v>
      </c>
      <c r="BL10" s="58">
        <v>144178.15</v>
      </c>
      <c r="BM10" s="58">
        <v>138123.10999999999</v>
      </c>
      <c r="BN10" s="58">
        <v>1635292.06</v>
      </c>
      <c r="BO10" s="58">
        <v>131139.48000000001</v>
      </c>
      <c r="BP10" s="58">
        <v>131302.18</v>
      </c>
      <c r="BQ10" s="58">
        <v>132281.57</v>
      </c>
      <c r="BR10" s="58">
        <v>133239.9</v>
      </c>
      <c r="BS10" s="58">
        <v>134178.17000000001</v>
      </c>
      <c r="BT10" s="58">
        <v>135098.14000000001</v>
      </c>
      <c r="BU10" s="58">
        <v>136001.06</v>
      </c>
      <c r="BV10" s="58">
        <v>136885.17000000001</v>
      </c>
      <c r="BW10" s="58">
        <v>137750.47</v>
      </c>
      <c r="BX10" s="58">
        <v>138599.22</v>
      </c>
      <c r="BY10" s="58">
        <v>139430.92000000001</v>
      </c>
      <c r="BZ10" s="58">
        <v>140245.59</v>
      </c>
      <c r="CA10" s="58">
        <v>1626151.87</v>
      </c>
      <c r="CB10" s="58">
        <v>140237.68</v>
      </c>
      <c r="CC10" s="58">
        <v>140209.5</v>
      </c>
      <c r="CD10" s="58">
        <v>140967.51999999999</v>
      </c>
      <c r="CE10" s="58">
        <v>141710.23000000001</v>
      </c>
      <c r="CF10" s="58">
        <v>142437.65</v>
      </c>
      <c r="CG10" s="58">
        <v>143150.29</v>
      </c>
      <c r="CH10" s="58">
        <v>143849.88</v>
      </c>
      <c r="CI10" s="58">
        <v>144535.92000000001</v>
      </c>
      <c r="CJ10" s="58">
        <v>145521.94</v>
      </c>
      <c r="CK10" s="58">
        <v>146618.91</v>
      </c>
      <c r="CL10" s="58">
        <v>147388.84</v>
      </c>
      <c r="CM10" s="58">
        <v>148021.23000000001</v>
      </c>
      <c r="CN10" s="58">
        <v>1724649.59</v>
      </c>
      <c r="CO10" s="58">
        <v>8553691.6400000006</v>
      </c>
    </row>
    <row r="11" spans="1:93" ht="14.4" x14ac:dyDescent="0.3">
      <c r="A11" s="56" t="s">
        <v>169</v>
      </c>
    </row>
    <row r="12" spans="1:93" ht="14.4" x14ac:dyDescent="0.3">
      <c r="A12" s="56" t="s">
        <v>301</v>
      </c>
      <c r="B12" s="58">
        <v>0</v>
      </c>
      <c r="C12" s="58">
        <v>8095</v>
      </c>
      <c r="D12" s="58">
        <v>9325.4</v>
      </c>
      <c r="E12" s="58">
        <v>10529.7</v>
      </c>
      <c r="F12" s="58">
        <v>11710.65</v>
      </c>
      <c r="G12" s="58">
        <v>13378.75</v>
      </c>
      <c r="H12" s="58">
        <v>15079.76</v>
      </c>
      <c r="I12" s="58">
        <v>16747.18</v>
      </c>
      <c r="J12" s="58">
        <v>18380.509999999998</v>
      </c>
      <c r="K12" s="58">
        <v>19982.009999999998</v>
      </c>
      <c r="L12" s="58">
        <v>21551.68</v>
      </c>
      <c r="M12" s="58">
        <v>23089.01</v>
      </c>
      <c r="N12" s="58">
        <v>0</v>
      </c>
      <c r="O12" s="58">
        <v>24596.26</v>
      </c>
      <c r="P12" s="58">
        <v>25904.93</v>
      </c>
      <c r="Q12" s="58">
        <v>27320.02</v>
      </c>
      <c r="R12" s="58">
        <v>28707.29</v>
      </c>
      <c r="S12" s="58">
        <v>30067.23</v>
      </c>
      <c r="T12" s="58">
        <v>31399.34</v>
      </c>
      <c r="U12" s="58">
        <v>32704.13</v>
      </c>
      <c r="V12" s="58">
        <v>33982.85</v>
      </c>
      <c r="W12" s="58">
        <v>35236</v>
      </c>
      <c r="X12" s="58">
        <v>36465.339999999997</v>
      </c>
      <c r="Y12" s="58">
        <v>37668.61</v>
      </c>
      <c r="Z12" s="58">
        <v>38848.06</v>
      </c>
      <c r="AA12" s="58">
        <v>24596.26</v>
      </c>
      <c r="AB12" s="58">
        <v>40003.69</v>
      </c>
      <c r="AC12" s="58">
        <v>40308.26</v>
      </c>
      <c r="AD12" s="58">
        <v>41393.019999999997</v>
      </c>
      <c r="AE12" s="58">
        <v>42893.72</v>
      </c>
      <c r="AF12" s="58">
        <v>43936.61</v>
      </c>
      <c r="AG12" s="58">
        <v>44957.94</v>
      </c>
      <c r="AH12" s="58">
        <v>45959.47</v>
      </c>
      <c r="AI12" s="58">
        <v>46939.44</v>
      </c>
      <c r="AJ12" s="58">
        <v>47901.86</v>
      </c>
      <c r="AK12" s="58">
        <v>48843.98</v>
      </c>
      <c r="AL12" s="58">
        <v>49766.29</v>
      </c>
      <c r="AM12" s="58">
        <v>50671.05</v>
      </c>
      <c r="AN12" s="58">
        <v>40003.69</v>
      </c>
      <c r="AO12" s="58">
        <v>51557.760000000002</v>
      </c>
      <c r="AP12" s="58">
        <v>51229.32</v>
      </c>
      <c r="AQ12" s="58">
        <v>52158.79</v>
      </c>
      <c r="AR12" s="58">
        <v>52973.61</v>
      </c>
      <c r="AS12" s="58">
        <v>53773.13</v>
      </c>
      <c r="AT12" s="58">
        <v>54556.35</v>
      </c>
      <c r="AU12" s="58">
        <v>55323.78</v>
      </c>
      <c r="AV12" s="58">
        <v>56075.42</v>
      </c>
      <c r="AW12" s="58">
        <v>56811.76</v>
      </c>
      <c r="AX12" s="58">
        <v>57533.56</v>
      </c>
      <c r="AY12" s="58">
        <v>58241.32</v>
      </c>
      <c r="AZ12" s="58">
        <v>59249.04</v>
      </c>
      <c r="BA12" s="58">
        <v>51557.760000000002</v>
      </c>
      <c r="BB12" s="58">
        <v>59928.72</v>
      </c>
      <c r="BC12" s="58">
        <v>59281.36</v>
      </c>
      <c r="BD12" s="58">
        <v>66562.16</v>
      </c>
      <c r="BE12" s="58">
        <v>67262.539999999994</v>
      </c>
      <c r="BF12" s="58">
        <v>67949.179999999993</v>
      </c>
      <c r="BG12" s="58">
        <v>68622.559999999998</v>
      </c>
      <c r="BH12" s="58">
        <v>69282.19</v>
      </c>
      <c r="BI12" s="58">
        <v>69928.570000000007</v>
      </c>
      <c r="BJ12" s="58">
        <v>70561.710000000006</v>
      </c>
      <c r="BK12" s="58">
        <v>71183.06</v>
      </c>
      <c r="BL12" s="58">
        <v>71790.67</v>
      </c>
      <c r="BM12" s="58">
        <v>72387</v>
      </c>
      <c r="BN12" s="58">
        <v>59928.72</v>
      </c>
      <c r="BO12" s="58">
        <v>65735.63</v>
      </c>
      <c r="BP12" s="58">
        <v>65403.37</v>
      </c>
      <c r="BQ12" s="58">
        <v>65898.33</v>
      </c>
      <c r="BR12" s="58">
        <v>66382.759999999995</v>
      </c>
      <c r="BS12" s="58">
        <v>66856.66</v>
      </c>
      <c r="BT12" s="58">
        <v>67321.03</v>
      </c>
      <c r="BU12" s="58">
        <v>67776.62</v>
      </c>
      <c r="BV12" s="58">
        <v>68223.929999999993</v>
      </c>
      <c r="BW12" s="58">
        <v>68660.710000000006</v>
      </c>
      <c r="BX12" s="58">
        <v>69089.22</v>
      </c>
      <c r="BY12" s="58">
        <v>69509.460000000006</v>
      </c>
      <c r="BZ12" s="58">
        <v>69920.929999999993</v>
      </c>
      <c r="CA12" s="58">
        <v>65735.63</v>
      </c>
      <c r="CB12" s="58">
        <v>70324.11</v>
      </c>
      <c r="CC12" s="58">
        <v>69913.03</v>
      </c>
      <c r="CD12" s="58">
        <v>70295.92</v>
      </c>
      <c r="CE12" s="58">
        <v>70671.03</v>
      </c>
      <c r="CF12" s="58">
        <v>71038.63</v>
      </c>
      <c r="CG12" s="58">
        <v>71398.460000000006</v>
      </c>
      <c r="CH12" s="58">
        <v>71751.259999999995</v>
      </c>
      <c r="CI12" s="58">
        <v>72098.039999999994</v>
      </c>
      <c r="CJ12" s="58">
        <v>72437.31</v>
      </c>
      <c r="CK12" s="58">
        <v>73084.05</v>
      </c>
      <c r="CL12" s="58">
        <v>73534.27</v>
      </c>
      <c r="CM12" s="58">
        <v>73853.97</v>
      </c>
      <c r="CN12" s="58">
        <v>70324.11</v>
      </c>
      <c r="CO12" s="58">
        <v>0</v>
      </c>
    </row>
    <row r="13" spans="1:93" ht="14.4" x14ac:dyDescent="0.3">
      <c r="A13" s="56" t="s">
        <v>302</v>
      </c>
      <c r="B13" s="58">
        <v>8095</v>
      </c>
      <c r="C13" s="58">
        <v>1230.4000000000001</v>
      </c>
      <c r="D13" s="58">
        <v>1204.3</v>
      </c>
      <c r="E13" s="58">
        <v>1180.95</v>
      </c>
      <c r="F13" s="58">
        <v>1668.1</v>
      </c>
      <c r="G13" s="58">
        <v>1701.01</v>
      </c>
      <c r="H13" s="58">
        <v>1667.42</v>
      </c>
      <c r="I13" s="58">
        <v>1633.33</v>
      </c>
      <c r="J13" s="58">
        <v>1601.5</v>
      </c>
      <c r="K13" s="58">
        <v>1569.67</v>
      </c>
      <c r="L13" s="58">
        <v>1537.33</v>
      </c>
      <c r="M13" s="58">
        <v>1507.25</v>
      </c>
      <c r="N13" s="58">
        <v>24596.26</v>
      </c>
      <c r="O13" s="58">
        <v>1308.67</v>
      </c>
      <c r="P13" s="58">
        <v>1415.09</v>
      </c>
      <c r="Q13" s="58">
        <v>1387.27</v>
      </c>
      <c r="R13" s="58">
        <v>1359.94</v>
      </c>
      <c r="S13" s="58">
        <v>1332.11</v>
      </c>
      <c r="T13" s="58">
        <v>1304.79</v>
      </c>
      <c r="U13" s="58">
        <v>1278.72</v>
      </c>
      <c r="V13" s="58">
        <v>1253.1500000000001</v>
      </c>
      <c r="W13" s="58">
        <v>1229.3399999999999</v>
      </c>
      <c r="X13" s="58">
        <v>1203.27</v>
      </c>
      <c r="Y13" s="58">
        <v>1179.45</v>
      </c>
      <c r="Z13" s="58">
        <v>1155.6300000000001</v>
      </c>
      <c r="AA13" s="58">
        <v>15407.43</v>
      </c>
      <c r="AB13" s="58">
        <v>304.57</v>
      </c>
      <c r="AC13" s="58">
        <v>1084.76</v>
      </c>
      <c r="AD13" s="58">
        <v>1500.7</v>
      </c>
      <c r="AE13" s="58">
        <v>1042.8900000000001</v>
      </c>
      <c r="AF13" s="58">
        <v>1021.33</v>
      </c>
      <c r="AG13" s="58">
        <v>1001.53</v>
      </c>
      <c r="AH13" s="58">
        <v>979.97</v>
      </c>
      <c r="AI13" s="58">
        <v>962.42</v>
      </c>
      <c r="AJ13" s="58">
        <v>942.12</v>
      </c>
      <c r="AK13" s="58">
        <v>922.31</v>
      </c>
      <c r="AL13" s="58">
        <v>904.76</v>
      </c>
      <c r="AM13" s="58">
        <v>886.71</v>
      </c>
      <c r="AN13" s="58">
        <v>11554.07</v>
      </c>
      <c r="AO13" s="58">
        <v>-328.44</v>
      </c>
      <c r="AP13" s="58">
        <v>929.47</v>
      </c>
      <c r="AQ13" s="58">
        <v>814.82</v>
      </c>
      <c r="AR13" s="58">
        <v>799.52</v>
      </c>
      <c r="AS13" s="58">
        <v>783.22</v>
      </c>
      <c r="AT13" s="58">
        <v>767.43</v>
      </c>
      <c r="AU13" s="58">
        <v>751.64</v>
      </c>
      <c r="AV13" s="58">
        <v>736.34</v>
      </c>
      <c r="AW13" s="58">
        <v>721.8</v>
      </c>
      <c r="AX13" s="58">
        <v>707.76</v>
      </c>
      <c r="AY13" s="58">
        <v>1007.72</v>
      </c>
      <c r="AZ13" s="58">
        <v>679.68</v>
      </c>
      <c r="BA13" s="58">
        <v>8370.9599999999991</v>
      </c>
      <c r="BB13" s="58">
        <v>-647.36</v>
      </c>
      <c r="BC13" s="58">
        <v>7280.8</v>
      </c>
      <c r="BD13" s="58">
        <v>700.38</v>
      </c>
      <c r="BE13" s="58">
        <v>686.64</v>
      </c>
      <c r="BF13" s="58">
        <v>673.38</v>
      </c>
      <c r="BG13" s="58">
        <v>659.63</v>
      </c>
      <c r="BH13" s="58">
        <v>646.38</v>
      </c>
      <c r="BI13" s="58">
        <v>633.14</v>
      </c>
      <c r="BJ13" s="58">
        <v>621.35</v>
      </c>
      <c r="BK13" s="58">
        <v>607.61</v>
      </c>
      <c r="BL13" s="58">
        <v>596.33000000000004</v>
      </c>
      <c r="BM13" s="58">
        <v>-6651.37</v>
      </c>
      <c r="BN13" s="58">
        <v>5806.91</v>
      </c>
      <c r="BO13" s="58">
        <v>-332.26</v>
      </c>
      <c r="BP13" s="58">
        <v>494.96</v>
      </c>
      <c r="BQ13" s="58">
        <v>484.43</v>
      </c>
      <c r="BR13" s="58">
        <v>473.9</v>
      </c>
      <c r="BS13" s="58">
        <v>464.37</v>
      </c>
      <c r="BT13" s="58">
        <v>455.59</v>
      </c>
      <c r="BU13" s="58">
        <v>447.31</v>
      </c>
      <c r="BV13" s="58">
        <v>436.78</v>
      </c>
      <c r="BW13" s="58">
        <v>428.51</v>
      </c>
      <c r="BX13" s="58">
        <v>420.24</v>
      </c>
      <c r="BY13" s="58">
        <v>411.47</v>
      </c>
      <c r="BZ13" s="58">
        <v>403.18</v>
      </c>
      <c r="CA13" s="58">
        <v>4588.4799999999996</v>
      </c>
      <c r="CB13" s="58">
        <v>-411.08</v>
      </c>
      <c r="CC13" s="58">
        <v>382.89</v>
      </c>
      <c r="CD13" s="58">
        <v>375.11</v>
      </c>
      <c r="CE13" s="58">
        <v>367.6</v>
      </c>
      <c r="CF13" s="58">
        <v>359.83</v>
      </c>
      <c r="CG13" s="58">
        <v>352.8</v>
      </c>
      <c r="CH13" s="58">
        <v>346.78</v>
      </c>
      <c r="CI13" s="58">
        <v>339.27</v>
      </c>
      <c r="CJ13" s="58">
        <v>646.74</v>
      </c>
      <c r="CK13" s="58">
        <v>450.22</v>
      </c>
      <c r="CL13" s="58">
        <v>319.7</v>
      </c>
      <c r="CM13" s="58">
        <v>312.68</v>
      </c>
      <c r="CN13" s="58">
        <v>3842.54</v>
      </c>
      <c r="CO13" s="58">
        <v>74166.649999999994</v>
      </c>
    </row>
    <row r="14" spans="1:93" ht="14.4" x14ac:dyDescent="0.3">
      <c r="A14" s="56" t="s">
        <v>303</v>
      </c>
      <c r="B14" s="58">
        <v>8095</v>
      </c>
      <c r="C14" s="58">
        <v>9325.4</v>
      </c>
      <c r="D14" s="58">
        <v>10529.7</v>
      </c>
      <c r="E14" s="58">
        <v>11710.65</v>
      </c>
      <c r="F14" s="58">
        <v>13378.75</v>
      </c>
      <c r="G14" s="58">
        <v>15079.76</v>
      </c>
      <c r="H14" s="58">
        <v>16747.18</v>
      </c>
      <c r="I14" s="58">
        <v>18380.509999999998</v>
      </c>
      <c r="J14" s="58">
        <v>19982.009999999998</v>
      </c>
      <c r="K14" s="58">
        <v>21551.68</v>
      </c>
      <c r="L14" s="58">
        <v>23089.01</v>
      </c>
      <c r="M14" s="58">
        <v>24596.26</v>
      </c>
      <c r="N14" s="58">
        <v>24596.26</v>
      </c>
      <c r="O14" s="58">
        <v>25904.93</v>
      </c>
      <c r="P14" s="58">
        <v>27320.02</v>
      </c>
      <c r="Q14" s="58">
        <v>28707.29</v>
      </c>
      <c r="R14" s="58">
        <v>30067.23</v>
      </c>
      <c r="S14" s="58">
        <v>31399.34</v>
      </c>
      <c r="T14" s="58">
        <v>32704.13</v>
      </c>
      <c r="U14" s="58">
        <v>33982.85</v>
      </c>
      <c r="V14" s="58">
        <v>35236</v>
      </c>
      <c r="W14" s="58">
        <v>36465.339999999997</v>
      </c>
      <c r="X14" s="58">
        <v>37668.61</v>
      </c>
      <c r="Y14" s="58">
        <v>38848.06</v>
      </c>
      <c r="Z14" s="58">
        <v>40003.69</v>
      </c>
      <c r="AA14" s="58">
        <v>40003.69</v>
      </c>
      <c r="AB14" s="58">
        <v>40308.26</v>
      </c>
      <c r="AC14" s="58">
        <v>41393.019999999997</v>
      </c>
      <c r="AD14" s="58">
        <v>42893.72</v>
      </c>
      <c r="AE14" s="58">
        <v>43936.61</v>
      </c>
      <c r="AF14" s="58">
        <v>44957.94</v>
      </c>
      <c r="AG14" s="58">
        <v>45959.47</v>
      </c>
      <c r="AH14" s="58">
        <v>46939.44</v>
      </c>
      <c r="AI14" s="58">
        <v>47901.86</v>
      </c>
      <c r="AJ14" s="58">
        <v>48843.98</v>
      </c>
      <c r="AK14" s="58">
        <v>49766.29</v>
      </c>
      <c r="AL14" s="58">
        <v>50671.05</v>
      </c>
      <c r="AM14" s="58">
        <v>51557.760000000002</v>
      </c>
      <c r="AN14" s="58">
        <v>51557.760000000002</v>
      </c>
      <c r="AO14" s="58">
        <v>51229.32</v>
      </c>
      <c r="AP14" s="58">
        <v>52158.79</v>
      </c>
      <c r="AQ14" s="58">
        <v>52973.61</v>
      </c>
      <c r="AR14" s="58">
        <v>53773.13</v>
      </c>
      <c r="AS14" s="58">
        <v>54556.35</v>
      </c>
      <c r="AT14" s="58">
        <v>55323.78</v>
      </c>
      <c r="AU14" s="58">
        <v>56075.42</v>
      </c>
      <c r="AV14" s="58">
        <v>56811.76</v>
      </c>
      <c r="AW14" s="58">
        <v>57533.56</v>
      </c>
      <c r="AX14" s="58">
        <v>58241.32</v>
      </c>
      <c r="AY14" s="58">
        <v>59249.04</v>
      </c>
      <c r="AZ14" s="58">
        <v>59928.72</v>
      </c>
      <c r="BA14" s="58">
        <v>59928.72</v>
      </c>
      <c r="BB14" s="58">
        <v>59281.36</v>
      </c>
      <c r="BC14" s="58">
        <v>66562.16</v>
      </c>
      <c r="BD14" s="58">
        <v>67262.539999999994</v>
      </c>
      <c r="BE14" s="58">
        <v>67949.179999999993</v>
      </c>
      <c r="BF14" s="58">
        <v>68622.559999999998</v>
      </c>
      <c r="BG14" s="58">
        <v>69282.19</v>
      </c>
      <c r="BH14" s="58">
        <v>69928.570000000007</v>
      </c>
      <c r="BI14" s="58">
        <v>70561.710000000006</v>
      </c>
      <c r="BJ14" s="58">
        <v>71183.06</v>
      </c>
      <c r="BK14" s="58">
        <v>71790.67</v>
      </c>
      <c r="BL14" s="58">
        <v>72387</v>
      </c>
      <c r="BM14" s="58">
        <v>65735.63</v>
      </c>
      <c r="BN14" s="58">
        <v>65735.63</v>
      </c>
      <c r="BO14" s="58">
        <v>65403.37</v>
      </c>
      <c r="BP14" s="58">
        <v>65898.33</v>
      </c>
      <c r="BQ14" s="58">
        <v>66382.759999999995</v>
      </c>
      <c r="BR14" s="58">
        <v>66856.66</v>
      </c>
      <c r="BS14" s="58">
        <v>67321.03</v>
      </c>
      <c r="BT14" s="58">
        <v>67776.62</v>
      </c>
      <c r="BU14" s="58">
        <v>68223.929999999993</v>
      </c>
      <c r="BV14" s="58">
        <v>68660.710000000006</v>
      </c>
      <c r="BW14" s="58">
        <v>69089.22</v>
      </c>
      <c r="BX14" s="58">
        <v>69509.460000000006</v>
      </c>
      <c r="BY14" s="58">
        <v>69920.929999999993</v>
      </c>
      <c r="BZ14" s="58">
        <v>70324.11</v>
      </c>
      <c r="CA14" s="58">
        <v>70324.11</v>
      </c>
      <c r="CB14" s="58">
        <v>69913.03</v>
      </c>
      <c r="CC14" s="58">
        <v>70295.92</v>
      </c>
      <c r="CD14" s="58">
        <v>70671.03</v>
      </c>
      <c r="CE14" s="58">
        <v>71038.63</v>
      </c>
      <c r="CF14" s="58">
        <v>71398.460000000006</v>
      </c>
      <c r="CG14" s="58">
        <v>71751.259999999995</v>
      </c>
      <c r="CH14" s="58">
        <v>72098.039999999994</v>
      </c>
      <c r="CI14" s="58">
        <v>72437.31</v>
      </c>
      <c r="CJ14" s="58">
        <v>73084.05</v>
      </c>
      <c r="CK14" s="58">
        <v>73534.27</v>
      </c>
      <c r="CL14" s="58">
        <v>73853.97</v>
      </c>
      <c r="CM14" s="58">
        <v>74166.649999999994</v>
      </c>
      <c r="CN14" s="58">
        <v>74166.649999999994</v>
      </c>
      <c r="CO14" s="58">
        <v>74166.649999999994</v>
      </c>
    </row>
    <row r="15" spans="1:93" ht="14.4" x14ac:dyDescent="0.3">
      <c r="A15" s="56" t="s">
        <v>169</v>
      </c>
    </row>
    <row r="16" spans="1:93" ht="14.4" x14ac:dyDescent="0.3">
      <c r="A16" s="56" t="s">
        <v>249</v>
      </c>
      <c r="B16" s="57">
        <v>4</v>
      </c>
      <c r="C16" s="59">
        <v>2.14</v>
      </c>
      <c r="D16" s="59">
        <v>2.12</v>
      </c>
      <c r="E16" s="59">
        <v>2.11</v>
      </c>
      <c r="F16" s="59">
        <v>2.13</v>
      </c>
      <c r="G16" s="59">
        <v>2.12</v>
      </c>
      <c r="H16" s="59">
        <v>2.1</v>
      </c>
      <c r="I16" s="59">
        <v>2.09</v>
      </c>
      <c r="J16" s="59">
        <v>2.08</v>
      </c>
      <c r="K16" s="59">
        <v>2.08</v>
      </c>
      <c r="L16" s="59">
        <v>2.0699999999999998</v>
      </c>
      <c r="M16" s="59">
        <v>2.06</v>
      </c>
      <c r="N16" s="59">
        <v>31.3</v>
      </c>
      <c r="O16" s="59">
        <v>2.0499999999999998</v>
      </c>
      <c r="P16" s="59">
        <v>2.0499999999999998</v>
      </c>
      <c r="Q16" s="59">
        <v>2.0499999999999998</v>
      </c>
      <c r="R16" s="59">
        <v>2.0499999999999998</v>
      </c>
      <c r="S16" s="59">
        <v>2.04</v>
      </c>
      <c r="T16" s="59">
        <v>2.04</v>
      </c>
      <c r="U16" s="59">
        <v>2.04</v>
      </c>
      <c r="V16" s="59">
        <v>2.04</v>
      </c>
      <c r="W16" s="59">
        <v>2.0299999999999998</v>
      </c>
      <c r="X16" s="59">
        <v>2.0299999999999998</v>
      </c>
      <c r="Y16" s="59">
        <v>2.0299999999999998</v>
      </c>
      <c r="Z16" s="59">
        <v>2.0299999999999998</v>
      </c>
      <c r="AA16" s="59">
        <v>24.66</v>
      </c>
      <c r="AB16" s="59">
        <v>2.0099999999999998</v>
      </c>
      <c r="AC16" s="59">
        <v>2.0299999999999998</v>
      </c>
      <c r="AD16" s="59">
        <v>2.04</v>
      </c>
      <c r="AE16" s="59">
        <v>2.02</v>
      </c>
      <c r="AF16" s="59">
        <v>2.02</v>
      </c>
      <c r="AG16" s="59">
        <v>2.02</v>
      </c>
      <c r="AH16" s="59">
        <v>2.02</v>
      </c>
      <c r="AI16" s="59">
        <v>2.02</v>
      </c>
      <c r="AJ16" s="59">
        <v>2.02</v>
      </c>
      <c r="AK16" s="59">
        <v>2.02</v>
      </c>
      <c r="AL16" s="59">
        <v>2.02</v>
      </c>
      <c r="AM16" s="59">
        <v>2.02</v>
      </c>
      <c r="AN16" s="59">
        <v>24.25</v>
      </c>
      <c r="AO16" s="59">
        <v>1.99</v>
      </c>
      <c r="AP16" s="59">
        <v>2.02</v>
      </c>
      <c r="AQ16" s="59">
        <v>2.02</v>
      </c>
      <c r="AR16" s="59">
        <v>2.0099999999999998</v>
      </c>
      <c r="AS16" s="59">
        <v>2.0099999999999998</v>
      </c>
      <c r="AT16" s="59">
        <v>2.0099999999999998</v>
      </c>
      <c r="AU16" s="59">
        <v>2.0099999999999998</v>
      </c>
      <c r="AV16" s="59">
        <v>2.0099999999999998</v>
      </c>
      <c r="AW16" s="59">
        <v>2.0099999999999998</v>
      </c>
      <c r="AX16" s="59">
        <v>2.0099999999999998</v>
      </c>
      <c r="AY16" s="59">
        <v>2.02</v>
      </c>
      <c r="AZ16" s="59">
        <v>2.0099999999999998</v>
      </c>
      <c r="BA16" s="59">
        <v>23.96</v>
      </c>
      <c r="BB16" s="59">
        <v>1.99</v>
      </c>
      <c r="BC16" s="59">
        <v>2.12</v>
      </c>
      <c r="BD16" s="59">
        <v>2.0099999999999998</v>
      </c>
      <c r="BE16" s="59">
        <v>2.0099999999999998</v>
      </c>
      <c r="BF16" s="59">
        <v>2.0099999999999998</v>
      </c>
      <c r="BG16" s="59">
        <v>2.0099999999999998</v>
      </c>
      <c r="BH16" s="59">
        <v>2.0099999999999998</v>
      </c>
      <c r="BI16" s="59">
        <v>2.0099999999999998</v>
      </c>
      <c r="BJ16" s="59">
        <v>2.0099999999999998</v>
      </c>
      <c r="BK16" s="59">
        <v>2.0099999999999998</v>
      </c>
      <c r="BL16" s="59">
        <v>2.0099999999999998</v>
      </c>
      <c r="BM16" s="59">
        <v>1.9</v>
      </c>
      <c r="BN16" s="59">
        <v>26.12</v>
      </c>
      <c r="BO16" s="59">
        <v>1.99</v>
      </c>
      <c r="BP16" s="59">
        <v>2.0099999999999998</v>
      </c>
      <c r="BQ16" s="59">
        <v>2.0099999999999998</v>
      </c>
      <c r="BR16" s="59">
        <v>2.0099999999999998</v>
      </c>
      <c r="BS16" s="59">
        <v>2.0099999999999998</v>
      </c>
      <c r="BT16" s="59">
        <v>2.0099999999999998</v>
      </c>
      <c r="BU16" s="59">
        <v>2.0099999999999998</v>
      </c>
      <c r="BV16" s="59">
        <v>2.0099999999999998</v>
      </c>
      <c r="BW16" s="59">
        <v>2.0099999999999998</v>
      </c>
      <c r="BX16" s="59">
        <v>2.0099999999999998</v>
      </c>
      <c r="BY16" s="59">
        <v>2.0099999999999998</v>
      </c>
      <c r="BZ16" s="59">
        <v>2.0099999999999998</v>
      </c>
      <c r="CA16" s="59">
        <v>23.97</v>
      </c>
      <c r="CB16" s="59">
        <v>1.99</v>
      </c>
      <c r="CC16" s="59">
        <v>2.0099999999999998</v>
      </c>
      <c r="CD16" s="59">
        <v>2.0099999999999998</v>
      </c>
      <c r="CE16" s="59">
        <v>2.0099999999999998</v>
      </c>
      <c r="CF16" s="59">
        <v>2.0099999999999998</v>
      </c>
      <c r="CG16" s="57">
        <v>2</v>
      </c>
      <c r="CH16" s="57">
        <v>2</v>
      </c>
      <c r="CI16" s="57">
        <v>2</v>
      </c>
      <c r="CJ16" s="59">
        <v>2.0099999999999998</v>
      </c>
      <c r="CK16" s="59">
        <v>2.0099999999999998</v>
      </c>
      <c r="CL16" s="57">
        <v>2</v>
      </c>
      <c r="CM16" s="57">
        <v>2</v>
      </c>
      <c r="CN16" s="59">
        <v>23.93</v>
      </c>
      <c r="CO16" s="59">
        <v>232.66</v>
      </c>
    </row>
    <row r="17" spans="1:93" ht="14.4" x14ac:dyDescent="0.3">
      <c r="A17" s="56" t="s">
        <v>304</v>
      </c>
      <c r="B17" s="60">
        <v>5.0000000000000001E-3</v>
      </c>
      <c r="C17" s="60">
        <v>2.7000000000000001E-3</v>
      </c>
      <c r="D17" s="60">
        <v>1.9E-3</v>
      </c>
      <c r="E17" s="60">
        <v>1.5E-3</v>
      </c>
      <c r="F17" s="60">
        <v>1.2999999999999999E-3</v>
      </c>
      <c r="G17" s="60">
        <v>1.1000000000000001E-3</v>
      </c>
      <c r="H17" s="60">
        <v>1E-3</v>
      </c>
      <c r="I17" s="60">
        <v>8.9999999999999998E-4</v>
      </c>
      <c r="J17" s="60">
        <v>8.0000000000000004E-4</v>
      </c>
      <c r="K17" s="60">
        <v>7.000000000000001E-4</v>
      </c>
      <c r="L17" s="60">
        <v>7.000000000000001E-4</v>
      </c>
      <c r="M17" s="60">
        <v>5.9999999999999995E-4</v>
      </c>
      <c r="N17" s="60">
        <v>5.9999999999999995E-4</v>
      </c>
      <c r="O17" s="60">
        <v>5.9999999999999995E-4</v>
      </c>
      <c r="P17" s="60">
        <v>5.9999999999999995E-4</v>
      </c>
      <c r="Q17" s="60">
        <v>5.0000000000000001E-4</v>
      </c>
      <c r="R17" s="60">
        <v>5.0000000000000001E-4</v>
      </c>
      <c r="S17" s="60">
        <v>5.0000000000000001E-4</v>
      </c>
      <c r="T17" s="60">
        <v>4.0000000000000002E-4</v>
      </c>
      <c r="U17" s="60">
        <v>4.0000000000000002E-4</v>
      </c>
      <c r="V17" s="60">
        <v>4.0000000000000002E-4</v>
      </c>
      <c r="W17" s="60">
        <v>4.0000000000000002E-4</v>
      </c>
      <c r="X17" s="60">
        <v>4.0000000000000002E-4</v>
      </c>
      <c r="Y17" s="60">
        <v>4.0000000000000002E-4</v>
      </c>
      <c r="Z17" s="60">
        <v>2.9999999999999997E-4</v>
      </c>
      <c r="AA17" s="60">
        <v>2.9999999999999997E-4</v>
      </c>
      <c r="AB17" s="60">
        <v>2.9999999999999997E-4</v>
      </c>
      <c r="AC17" s="60">
        <v>2.9999999999999997E-4</v>
      </c>
      <c r="AD17" s="60">
        <v>2.9999999999999997E-4</v>
      </c>
      <c r="AE17" s="60">
        <v>2.9999999999999997E-4</v>
      </c>
      <c r="AF17" s="60">
        <v>2.9999999999999997E-4</v>
      </c>
      <c r="AG17" s="60">
        <v>2.9999999999999997E-4</v>
      </c>
      <c r="AH17" s="60">
        <v>2.9999999999999997E-4</v>
      </c>
      <c r="AI17" s="60">
        <v>2.9999999999999997E-4</v>
      </c>
      <c r="AJ17" s="60">
        <v>2.0000000000000001E-4</v>
      </c>
      <c r="AK17" s="60">
        <v>2.0000000000000001E-4</v>
      </c>
      <c r="AL17" s="60">
        <v>2.0000000000000001E-4</v>
      </c>
      <c r="AM17" s="60">
        <v>2.0000000000000001E-4</v>
      </c>
      <c r="AN17" s="60">
        <v>2.0000000000000001E-4</v>
      </c>
      <c r="AO17" s="60">
        <v>2.0000000000000001E-4</v>
      </c>
      <c r="AP17" s="60">
        <v>2.0000000000000001E-4</v>
      </c>
      <c r="AQ17" s="60">
        <v>2.0000000000000001E-4</v>
      </c>
      <c r="AR17" s="60">
        <v>2.0000000000000001E-4</v>
      </c>
      <c r="AS17" s="60">
        <v>2.0000000000000001E-4</v>
      </c>
      <c r="AT17" s="60">
        <v>2.0000000000000001E-4</v>
      </c>
      <c r="AU17" s="60">
        <v>2.0000000000000001E-4</v>
      </c>
      <c r="AV17" s="60">
        <v>2.0000000000000001E-4</v>
      </c>
      <c r="AW17" s="60">
        <v>2.0000000000000001E-4</v>
      </c>
      <c r="AX17" s="60">
        <v>2.0000000000000001E-4</v>
      </c>
      <c r="AY17" s="60">
        <v>2.0000000000000001E-4</v>
      </c>
      <c r="AZ17" s="60">
        <v>2.0000000000000001E-4</v>
      </c>
      <c r="BA17" s="60">
        <v>2.0000000000000001E-4</v>
      </c>
      <c r="BB17" s="60">
        <v>2.0000000000000001E-4</v>
      </c>
      <c r="BC17" s="60">
        <v>2.0000000000000001E-4</v>
      </c>
      <c r="BD17" s="60">
        <v>2.0000000000000001E-4</v>
      </c>
      <c r="BE17" s="60">
        <v>2.0000000000000001E-4</v>
      </c>
      <c r="BF17" s="60">
        <v>2.0000000000000001E-4</v>
      </c>
      <c r="BG17" s="60">
        <v>2.0000000000000001E-4</v>
      </c>
      <c r="BH17" s="60">
        <v>2.0000000000000001E-4</v>
      </c>
      <c r="BI17" s="60">
        <v>1E-4</v>
      </c>
      <c r="BJ17" s="60">
        <v>1E-4</v>
      </c>
      <c r="BK17" s="60">
        <v>1E-4</v>
      </c>
      <c r="BL17" s="60">
        <v>1E-4</v>
      </c>
      <c r="BM17" s="60">
        <v>1E-4</v>
      </c>
      <c r="BN17" s="60">
        <v>1E-4</v>
      </c>
      <c r="BO17" s="60">
        <v>1E-4</v>
      </c>
      <c r="BP17" s="60">
        <v>1E-4</v>
      </c>
      <c r="BQ17" s="60">
        <v>1E-4</v>
      </c>
      <c r="BR17" s="60">
        <v>1E-4</v>
      </c>
      <c r="BS17" s="60">
        <v>1E-4</v>
      </c>
      <c r="BT17" s="60">
        <v>1E-4</v>
      </c>
      <c r="BU17" s="60">
        <v>1E-4</v>
      </c>
      <c r="BV17" s="60">
        <v>1E-4</v>
      </c>
      <c r="BW17" s="60">
        <v>1E-4</v>
      </c>
      <c r="BX17" s="60">
        <v>1E-4</v>
      </c>
      <c r="BY17" s="60">
        <v>1E-4</v>
      </c>
      <c r="BZ17" s="60">
        <v>1E-4</v>
      </c>
      <c r="CA17" s="60">
        <v>1E-4</v>
      </c>
      <c r="CB17" s="60">
        <v>1E-4</v>
      </c>
      <c r="CC17" s="60">
        <v>1E-4</v>
      </c>
      <c r="CD17" s="60">
        <v>1E-4</v>
      </c>
      <c r="CE17" s="60">
        <v>1E-4</v>
      </c>
      <c r="CF17" s="60">
        <v>1E-4</v>
      </c>
      <c r="CG17" s="60">
        <v>1E-4</v>
      </c>
      <c r="CH17" s="60">
        <v>1E-4</v>
      </c>
      <c r="CI17" s="60">
        <v>1E-4</v>
      </c>
      <c r="CJ17" s="60">
        <v>1E-4</v>
      </c>
      <c r="CK17" s="60">
        <v>1E-4</v>
      </c>
      <c r="CL17" s="60">
        <v>1E-4</v>
      </c>
      <c r="CM17" s="60">
        <v>1E-4</v>
      </c>
      <c r="CN17" s="60">
        <v>1E-4</v>
      </c>
      <c r="CO17" s="60">
        <v>1E-4</v>
      </c>
    </row>
    <row r="21" spans="1:93" ht="15.75" customHeight="1" x14ac:dyDescent="0.3"/>
    <row r="22" spans="1:93" ht="15.75" customHeight="1" x14ac:dyDescent="0.3"/>
    <row r="23" spans="1:93" ht="15.75" customHeight="1" x14ac:dyDescent="0.3"/>
    <row r="24" spans="1:93" ht="15.75" customHeight="1" x14ac:dyDescent="0.3"/>
    <row r="25" spans="1:93" ht="15.75" customHeight="1" x14ac:dyDescent="0.3"/>
    <row r="26" spans="1:93" ht="15.75" customHeight="1" x14ac:dyDescent="0.3"/>
    <row r="27" spans="1:93" ht="15.75" customHeight="1" x14ac:dyDescent="0.3"/>
    <row r="28" spans="1:93" ht="15.75" customHeight="1" x14ac:dyDescent="0.3"/>
    <row r="29" spans="1:93" ht="15.75" customHeight="1" x14ac:dyDescent="0.3"/>
    <row r="30" spans="1:93" ht="15.75" customHeight="1" x14ac:dyDescent="0.3"/>
    <row r="31" spans="1:93" ht="15.75" customHeight="1" x14ac:dyDescent="0.3"/>
    <row r="32" spans="1:9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305</v>
      </c>
      <c r="B2" s="58">
        <v>-26932</v>
      </c>
      <c r="C2" s="58">
        <v>-21201.96</v>
      </c>
      <c r="D2" s="58">
        <v>-15586.88</v>
      </c>
      <c r="E2" s="58">
        <v>-10083.91</v>
      </c>
      <c r="F2" s="58">
        <v>-5714.06</v>
      </c>
      <c r="G2" s="58">
        <v>-1560.46</v>
      </c>
      <c r="H2" s="58">
        <v>1509.86</v>
      </c>
      <c r="I2" s="58">
        <v>5497.93</v>
      </c>
      <c r="J2" s="58">
        <v>9407.58</v>
      </c>
      <c r="K2" s="58">
        <v>13238.81</v>
      </c>
      <c r="L2" s="58">
        <v>16992.62</v>
      </c>
      <c r="M2" s="58">
        <v>20672.87</v>
      </c>
      <c r="N2" s="58">
        <v>-13759.6</v>
      </c>
      <c r="O2" s="58">
        <v>9651.5499999999993</v>
      </c>
      <c r="P2" s="58">
        <v>13248.66</v>
      </c>
      <c r="Q2" s="58">
        <v>16776.060000000001</v>
      </c>
      <c r="R2" s="58">
        <v>20232.73</v>
      </c>
      <c r="S2" s="58">
        <v>23619.68</v>
      </c>
      <c r="T2" s="58">
        <v>26935.91</v>
      </c>
      <c r="U2" s="58">
        <v>30187.27</v>
      </c>
      <c r="V2" s="58">
        <v>33372.76</v>
      </c>
      <c r="W2" s="58">
        <v>36497.22</v>
      </c>
      <c r="X2" s="58">
        <v>39556.82</v>
      </c>
      <c r="Y2" s="58">
        <v>42555.38</v>
      </c>
      <c r="Z2" s="58">
        <v>45492.93</v>
      </c>
      <c r="AA2" s="58">
        <v>338126.97</v>
      </c>
      <c r="AB2" s="58">
        <v>39067.300000000003</v>
      </c>
      <c r="AC2" s="58">
        <v>41937.64</v>
      </c>
      <c r="AD2" s="58">
        <v>38875.81</v>
      </c>
      <c r="AE2" s="58">
        <v>41637.65</v>
      </c>
      <c r="AF2" s="58">
        <v>44342.31</v>
      </c>
      <c r="AG2" s="58">
        <v>46994.65</v>
      </c>
      <c r="AH2" s="58">
        <v>49589.81</v>
      </c>
      <c r="AI2" s="58">
        <v>52136.49</v>
      </c>
      <c r="AJ2" s="58">
        <v>54631.839999999997</v>
      </c>
      <c r="AK2" s="58">
        <v>57074.86</v>
      </c>
      <c r="AL2" s="58">
        <v>59469.41</v>
      </c>
      <c r="AM2" s="58">
        <v>61816.47</v>
      </c>
      <c r="AN2" s="58">
        <v>587574.24</v>
      </c>
      <c r="AO2" s="58">
        <v>59295.26</v>
      </c>
      <c r="AP2" s="58">
        <v>61398.01</v>
      </c>
      <c r="AQ2" s="58">
        <v>59896.480000000003</v>
      </c>
      <c r="AR2" s="58">
        <v>62100.32</v>
      </c>
      <c r="AS2" s="58">
        <v>64261.53</v>
      </c>
      <c r="AT2" s="58">
        <v>66379.100000000006</v>
      </c>
      <c r="AU2" s="58">
        <v>68453.05</v>
      </c>
      <c r="AV2" s="58">
        <v>70482.36</v>
      </c>
      <c r="AW2" s="58">
        <v>72473.89</v>
      </c>
      <c r="AX2" s="58">
        <v>74426.63</v>
      </c>
      <c r="AY2" s="58">
        <v>72712.59</v>
      </c>
      <c r="AZ2" s="58">
        <v>74587.77</v>
      </c>
      <c r="BA2" s="58">
        <v>806466.99</v>
      </c>
      <c r="BB2" s="58">
        <v>71835.16</v>
      </c>
      <c r="BC2" s="58">
        <v>60382.74</v>
      </c>
      <c r="BD2" s="58">
        <v>62024.3</v>
      </c>
      <c r="BE2" s="58">
        <v>63634.84</v>
      </c>
      <c r="BF2" s="58">
        <v>65213.37</v>
      </c>
      <c r="BG2" s="58">
        <v>66760.899999999994</v>
      </c>
      <c r="BH2" s="58">
        <v>68276.42</v>
      </c>
      <c r="BI2" s="58">
        <v>69759.92</v>
      </c>
      <c r="BJ2" s="58">
        <v>71216.84</v>
      </c>
      <c r="BK2" s="58">
        <v>72642.75</v>
      </c>
      <c r="BL2" s="58">
        <v>70291.08</v>
      </c>
      <c r="BM2" s="58">
        <v>86134.65</v>
      </c>
      <c r="BN2" s="58">
        <v>828172.97</v>
      </c>
      <c r="BO2" s="58">
        <v>82629.86</v>
      </c>
      <c r="BP2" s="58">
        <v>84080.47</v>
      </c>
      <c r="BQ2" s="58">
        <v>85502</v>
      </c>
      <c r="BR2" s="58">
        <v>86894.44</v>
      </c>
      <c r="BS2" s="58">
        <v>88255.79</v>
      </c>
      <c r="BT2" s="58">
        <v>89592.9</v>
      </c>
      <c r="BU2" s="58">
        <v>90904.78</v>
      </c>
      <c r="BV2" s="58">
        <v>92187.56</v>
      </c>
      <c r="BW2" s="58">
        <v>93445.1</v>
      </c>
      <c r="BX2" s="58">
        <v>94677.41</v>
      </c>
      <c r="BY2" s="58">
        <v>95885.47</v>
      </c>
      <c r="BZ2" s="58">
        <v>97068.3</v>
      </c>
      <c r="CA2" s="58">
        <v>1081124.08</v>
      </c>
      <c r="CB2" s="58">
        <v>90957.88</v>
      </c>
      <c r="CC2" s="58">
        <v>92106.07</v>
      </c>
      <c r="CD2" s="58">
        <v>93228.02</v>
      </c>
      <c r="CE2" s="58">
        <v>94331.58</v>
      </c>
      <c r="CF2" s="58">
        <v>95408.9</v>
      </c>
      <c r="CG2" s="58">
        <v>96466.83</v>
      </c>
      <c r="CH2" s="58">
        <v>97503.37</v>
      </c>
      <c r="CI2" s="58">
        <v>98521.51</v>
      </c>
      <c r="CJ2" s="58">
        <v>95891.26</v>
      </c>
      <c r="CK2" s="58">
        <v>94620.62</v>
      </c>
      <c r="CL2" s="58">
        <v>95577.59</v>
      </c>
      <c r="CM2" s="58">
        <v>96515.17</v>
      </c>
      <c r="CN2" s="58">
        <v>1141128.8</v>
      </c>
      <c r="CO2" s="58">
        <v>4768834.45</v>
      </c>
    </row>
    <row r="3" spans="1:93" ht="14.4" x14ac:dyDescent="0.3">
      <c r="A3" s="56" t="s">
        <v>306</v>
      </c>
      <c r="B3" s="58">
        <v>0</v>
      </c>
      <c r="C3" s="58">
        <v>0</v>
      </c>
      <c r="D3" s="58">
        <v>0</v>
      </c>
      <c r="E3" s="58">
        <v>0</v>
      </c>
      <c r="F3" s="58">
        <v>0</v>
      </c>
      <c r="G3" s="58">
        <v>0</v>
      </c>
      <c r="H3" s="58">
        <v>0</v>
      </c>
      <c r="I3" s="58">
        <v>0</v>
      </c>
      <c r="J3" s="58">
        <v>0</v>
      </c>
      <c r="K3" s="58">
        <v>0</v>
      </c>
      <c r="L3" s="58">
        <v>0</v>
      </c>
      <c r="M3" s="58">
        <v>0</v>
      </c>
      <c r="N3" s="58">
        <v>0</v>
      </c>
      <c r="O3" s="58">
        <v>0</v>
      </c>
      <c r="P3" s="58">
        <v>0</v>
      </c>
      <c r="Q3" s="58">
        <v>0</v>
      </c>
      <c r="R3" s="58">
        <v>0</v>
      </c>
      <c r="S3" s="58">
        <v>0</v>
      </c>
      <c r="T3" s="58">
        <v>0</v>
      </c>
      <c r="U3" s="58">
        <v>0</v>
      </c>
      <c r="V3" s="58">
        <v>0</v>
      </c>
      <c r="W3" s="58">
        <v>0</v>
      </c>
      <c r="X3" s="58">
        <v>0</v>
      </c>
      <c r="Y3" s="58">
        <v>0</v>
      </c>
      <c r="Z3" s="58">
        <v>0</v>
      </c>
      <c r="AA3" s="58">
        <v>0</v>
      </c>
      <c r="AB3" s="58">
        <v>0</v>
      </c>
      <c r="AC3" s="58">
        <v>0</v>
      </c>
      <c r="AD3" s="58">
        <v>0</v>
      </c>
      <c r="AE3" s="58">
        <v>0</v>
      </c>
      <c r="AF3" s="58">
        <v>0</v>
      </c>
      <c r="AG3" s="58">
        <v>0</v>
      </c>
      <c r="AH3" s="58">
        <v>0</v>
      </c>
      <c r="AI3" s="58">
        <v>0</v>
      </c>
      <c r="AJ3" s="58">
        <v>0</v>
      </c>
      <c r="AK3" s="58">
        <v>0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58">
        <v>0</v>
      </c>
      <c r="AS3" s="58">
        <v>0</v>
      </c>
      <c r="AT3" s="58">
        <v>0</v>
      </c>
      <c r="AU3" s="58">
        <v>0</v>
      </c>
      <c r="AV3" s="58">
        <v>0</v>
      </c>
      <c r="AW3" s="58">
        <v>0</v>
      </c>
      <c r="AX3" s="58">
        <v>0</v>
      </c>
      <c r="AY3" s="58">
        <v>0</v>
      </c>
      <c r="AZ3" s="58">
        <v>0</v>
      </c>
      <c r="BA3" s="58">
        <v>0</v>
      </c>
      <c r="BB3" s="58">
        <v>0</v>
      </c>
      <c r="BC3" s="58">
        <v>0</v>
      </c>
      <c r="BD3" s="58">
        <v>0</v>
      </c>
      <c r="BE3" s="58">
        <v>0</v>
      </c>
      <c r="BF3" s="58">
        <v>0</v>
      </c>
      <c r="BG3" s="58">
        <v>0</v>
      </c>
      <c r="BH3" s="58">
        <v>0</v>
      </c>
      <c r="BI3" s="58">
        <v>0</v>
      </c>
      <c r="BJ3" s="58">
        <v>0</v>
      </c>
      <c r="BK3" s="58">
        <v>0</v>
      </c>
      <c r="BL3" s="58">
        <v>0</v>
      </c>
      <c r="BM3" s="58">
        <v>0</v>
      </c>
      <c r="BN3" s="58">
        <v>0</v>
      </c>
      <c r="BO3" s="58">
        <v>0</v>
      </c>
      <c r="BP3" s="58">
        <v>0</v>
      </c>
      <c r="BQ3" s="58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0</v>
      </c>
      <c r="BX3" s="58">
        <v>0</v>
      </c>
      <c r="BY3" s="58">
        <v>0</v>
      </c>
      <c r="BZ3" s="58">
        <v>0</v>
      </c>
      <c r="CA3" s="58">
        <v>0</v>
      </c>
      <c r="CB3" s="58">
        <v>0</v>
      </c>
      <c r="CC3" s="58">
        <v>0</v>
      </c>
      <c r="CD3" s="58">
        <v>0</v>
      </c>
      <c r="CE3" s="58">
        <v>0</v>
      </c>
      <c r="CF3" s="58">
        <v>0</v>
      </c>
      <c r="CG3" s="58">
        <v>0</v>
      </c>
      <c r="CH3" s="58">
        <v>0</v>
      </c>
      <c r="CI3" s="58">
        <v>0</v>
      </c>
      <c r="CJ3" s="58">
        <v>0</v>
      </c>
      <c r="CK3" s="58">
        <v>0</v>
      </c>
      <c r="CL3" s="58">
        <v>0</v>
      </c>
      <c r="CM3" s="58">
        <v>0</v>
      </c>
      <c r="CN3" s="58">
        <v>0</v>
      </c>
      <c r="CO3" s="58">
        <v>0</v>
      </c>
    </row>
    <row r="4" spans="1:93" ht="14.4" x14ac:dyDescent="0.3">
      <c r="A4" s="56" t="s">
        <v>307</v>
      </c>
      <c r="B4" s="58">
        <v>0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0</v>
      </c>
      <c r="U4" s="58">
        <v>0</v>
      </c>
      <c r="V4" s="58">
        <v>0</v>
      </c>
      <c r="W4" s="58">
        <v>0</v>
      </c>
      <c r="X4" s="58">
        <v>0</v>
      </c>
      <c r="Y4" s="58">
        <v>0</v>
      </c>
      <c r="Z4" s="58">
        <v>0</v>
      </c>
      <c r="AA4" s="58">
        <v>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0</v>
      </c>
      <c r="AW4" s="58">
        <v>0</v>
      </c>
      <c r="AX4" s="58">
        <v>0</v>
      </c>
      <c r="AY4" s="58">
        <v>0</v>
      </c>
      <c r="AZ4" s="58">
        <v>0</v>
      </c>
      <c r="BA4" s="58">
        <v>0</v>
      </c>
      <c r="BB4" s="58">
        <v>0</v>
      </c>
      <c r="BC4" s="58">
        <v>0</v>
      </c>
      <c r="BD4" s="58">
        <v>0</v>
      </c>
      <c r="BE4" s="58">
        <v>0</v>
      </c>
      <c r="BF4" s="58">
        <v>0</v>
      </c>
      <c r="BG4" s="58">
        <v>0</v>
      </c>
      <c r="BH4" s="58">
        <v>0</v>
      </c>
      <c r="BI4" s="58">
        <v>0</v>
      </c>
      <c r="BJ4" s="58">
        <v>0</v>
      </c>
      <c r="BK4" s="58">
        <v>0</v>
      </c>
      <c r="BL4" s="58">
        <v>0</v>
      </c>
      <c r="BM4" s="58">
        <v>0</v>
      </c>
      <c r="BN4" s="58">
        <v>0</v>
      </c>
      <c r="BO4" s="58">
        <v>0</v>
      </c>
      <c r="BP4" s="58">
        <v>0</v>
      </c>
      <c r="BQ4" s="58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0</v>
      </c>
      <c r="BX4" s="58">
        <v>0</v>
      </c>
      <c r="BY4" s="58">
        <v>0</v>
      </c>
      <c r="BZ4" s="58">
        <v>0</v>
      </c>
      <c r="CA4" s="58">
        <v>0</v>
      </c>
      <c r="CB4" s="58">
        <v>0</v>
      </c>
      <c r="CC4" s="58">
        <v>0</v>
      </c>
      <c r="CD4" s="58">
        <v>0</v>
      </c>
      <c r="CE4" s="58">
        <v>0</v>
      </c>
      <c r="CF4" s="58">
        <v>0</v>
      </c>
      <c r="CG4" s="58">
        <v>0</v>
      </c>
      <c r="CH4" s="58">
        <v>0</v>
      </c>
      <c r="CI4" s="58">
        <v>0</v>
      </c>
      <c r="CJ4" s="58">
        <v>0</v>
      </c>
      <c r="CK4" s="58">
        <v>0</v>
      </c>
      <c r="CL4" s="58">
        <v>0</v>
      </c>
      <c r="CM4" s="58">
        <v>0</v>
      </c>
      <c r="CN4" s="58">
        <v>0</v>
      </c>
      <c r="CO4" s="58">
        <v>0</v>
      </c>
    </row>
    <row r="5" spans="1:93" ht="14.4" x14ac:dyDescent="0.3">
      <c r="A5" s="56" t="s">
        <v>308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v>0</v>
      </c>
      <c r="AJ5" s="58">
        <v>0</v>
      </c>
      <c r="AK5" s="58">
        <v>0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8">
        <v>0</v>
      </c>
      <c r="AS5" s="58">
        <v>0</v>
      </c>
      <c r="AT5" s="58">
        <v>0</v>
      </c>
      <c r="AU5" s="58">
        <v>0</v>
      </c>
      <c r="AV5" s="58">
        <v>0</v>
      </c>
      <c r="AW5" s="58">
        <v>0</v>
      </c>
      <c r="AX5" s="58">
        <v>0</v>
      </c>
      <c r="AY5" s="58">
        <v>0</v>
      </c>
      <c r="AZ5" s="58">
        <v>0</v>
      </c>
      <c r="BA5" s="58">
        <v>0</v>
      </c>
      <c r="BB5" s="58">
        <v>0</v>
      </c>
      <c r="BC5" s="58">
        <v>0</v>
      </c>
      <c r="BD5" s="58">
        <v>0</v>
      </c>
      <c r="BE5" s="58">
        <v>0</v>
      </c>
      <c r="BF5" s="58">
        <v>0</v>
      </c>
      <c r="BG5" s="58">
        <v>0</v>
      </c>
      <c r="BH5" s="58">
        <v>0</v>
      </c>
      <c r="BI5" s="58">
        <v>0</v>
      </c>
      <c r="BJ5" s="58">
        <v>0</v>
      </c>
      <c r="BK5" s="58">
        <v>0</v>
      </c>
      <c r="BL5" s="58">
        <v>0</v>
      </c>
      <c r="BM5" s="58">
        <v>0</v>
      </c>
      <c r="BN5" s="58">
        <v>0</v>
      </c>
      <c r="BO5" s="58">
        <v>0</v>
      </c>
      <c r="BP5" s="58">
        <v>0</v>
      </c>
      <c r="BQ5" s="58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0</v>
      </c>
      <c r="BX5" s="58">
        <v>0</v>
      </c>
      <c r="BY5" s="58">
        <v>0</v>
      </c>
      <c r="BZ5" s="58">
        <v>0</v>
      </c>
      <c r="CA5" s="58">
        <v>0</v>
      </c>
      <c r="CB5" s="58">
        <v>0</v>
      </c>
      <c r="CC5" s="58">
        <v>0</v>
      </c>
      <c r="CD5" s="58">
        <v>0</v>
      </c>
      <c r="CE5" s="58">
        <v>0</v>
      </c>
      <c r="CF5" s="58">
        <v>0</v>
      </c>
      <c r="CG5" s="58">
        <v>0</v>
      </c>
      <c r="CH5" s="58">
        <v>0</v>
      </c>
      <c r="CI5" s="58">
        <v>0</v>
      </c>
      <c r="CJ5" s="58">
        <v>0</v>
      </c>
      <c r="CK5" s="58">
        <v>0</v>
      </c>
      <c r="CL5" s="58">
        <v>0</v>
      </c>
      <c r="CM5" s="58">
        <v>0</v>
      </c>
      <c r="CN5" s="58">
        <v>0</v>
      </c>
      <c r="CO5" s="58">
        <v>0</v>
      </c>
    </row>
    <row r="6" spans="1:93" ht="14.4" x14ac:dyDescent="0.3">
      <c r="A6" s="56" t="s">
        <v>309</v>
      </c>
      <c r="B6" s="58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58">
        <v>0</v>
      </c>
      <c r="AZ6" s="58">
        <v>0</v>
      </c>
      <c r="BA6" s="58">
        <v>0</v>
      </c>
      <c r="BB6" s="58">
        <v>0</v>
      </c>
      <c r="BC6" s="58">
        <v>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8">
        <v>0</v>
      </c>
      <c r="BZ6" s="58">
        <v>0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0</v>
      </c>
      <c r="CM6" s="58">
        <v>0</v>
      </c>
      <c r="CN6" s="58">
        <v>0</v>
      </c>
      <c r="CO6" s="5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225</v>
      </c>
    </row>
    <row r="3" spans="1:93" ht="14.4" x14ac:dyDescent="0.3">
      <c r="A3" s="56" t="s">
        <v>310</v>
      </c>
      <c r="B3" s="58">
        <v>5970</v>
      </c>
      <c r="C3" s="58">
        <v>11820.6</v>
      </c>
      <c r="D3" s="58">
        <v>17551.8</v>
      </c>
      <c r="E3" s="58">
        <v>23169.57</v>
      </c>
      <c r="F3" s="58">
        <v>28673.91</v>
      </c>
      <c r="G3" s="58">
        <v>34070.79</v>
      </c>
      <c r="H3" s="58">
        <v>39360.21</v>
      </c>
      <c r="I3" s="58">
        <v>44542.17</v>
      </c>
      <c r="J3" s="58">
        <v>49622.64</v>
      </c>
      <c r="K3" s="58">
        <v>54601.62</v>
      </c>
      <c r="L3" s="58">
        <v>59479.11</v>
      </c>
      <c r="M3" s="58">
        <v>64261.08</v>
      </c>
      <c r="N3" s="58">
        <v>433123.5</v>
      </c>
      <c r="O3" s="58">
        <v>68947.53</v>
      </c>
      <c r="P3" s="58">
        <v>73538.460000000006</v>
      </c>
      <c r="Q3" s="58">
        <v>78039.839999999997</v>
      </c>
      <c r="R3" s="58">
        <v>82451.67</v>
      </c>
      <c r="S3" s="58">
        <v>86773.95</v>
      </c>
      <c r="T3" s="58">
        <v>91006.68</v>
      </c>
      <c r="U3" s="58">
        <v>95155.83</v>
      </c>
      <c r="V3" s="58">
        <v>99221.4</v>
      </c>
      <c r="W3" s="58">
        <v>103209.36</v>
      </c>
      <c r="X3" s="58">
        <v>107113.74</v>
      </c>
      <c r="Y3" s="58">
        <v>110940.51</v>
      </c>
      <c r="Z3" s="58">
        <v>114689.67</v>
      </c>
      <c r="AA3" s="58">
        <v>1111088.6399999999</v>
      </c>
      <c r="AB3" s="58">
        <v>118367.19</v>
      </c>
      <c r="AC3" s="58">
        <v>121967.1</v>
      </c>
      <c r="AD3" s="58">
        <v>125495.37</v>
      </c>
      <c r="AE3" s="58">
        <v>128957.97</v>
      </c>
      <c r="AF3" s="58">
        <v>132348.93</v>
      </c>
      <c r="AG3" s="58">
        <v>135674.22</v>
      </c>
      <c r="AH3" s="58">
        <v>138927.87</v>
      </c>
      <c r="AI3" s="58">
        <v>142121.82</v>
      </c>
      <c r="AJ3" s="58">
        <v>145250.1</v>
      </c>
      <c r="AK3" s="58">
        <v>148312.71</v>
      </c>
      <c r="AL3" s="58">
        <v>151315.62</v>
      </c>
      <c r="AM3" s="58">
        <v>154258.82999999999</v>
      </c>
      <c r="AN3" s="58">
        <v>1642997.73</v>
      </c>
      <c r="AO3" s="58">
        <v>157142.34</v>
      </c>
      <c r="AP3" s="58">
        <v>159972.12</v>
      </c>
      <c r="AQ3" s="58">
        <v>162742.20000000001</v>
      </c>
      <c r="AR3" s="58">
        <v>165458.54999999999</v>
      </c>
      <c r="AS3" s="58">
        <v>168121.17</v>
      </c>
      <c r="AT3" s="58">
        <v>170730.06</v>
      </c>
      <c r="AU3" s="58">
        <v>173285.22</v>
      </c>
      <c r="AV3" s="58">
        <v>175786.65</v>
      </c>
      <c r="AW3" s="58">
        <v>178240.32</v>
      </c>
      <c r="AX3" s="58">
        <v>180646.23</v>
      </c>
      <c r="AY3" s="58">
        <v>183004.38</v>
      </c>
      <c r="AZ3" s="58">
        <v>185314.77</v>
      </c>
      <c r="BA3" s="58">
        <v>2060444.01</v>
      </c>
      <c r="BB3" s="58">
        <v>187577.4</v>
      </c>
      <c r="BC3" s="58">
        <v>189798.24</v>
      </c>
      <c r="BD3" s="58">
        <v>191971.32</v>
      </c>
      <c r="BE3" s="58">
        <v>194102.61</v>
      </c>
      <c r="BF3" s="58">
        <v>196192.11</v>
      </c>
      <c r="BG3" s="58">
        <v>198239.82</v>
      </c>
      <c r="BH3" s="58">
        <v>200245.74</v>
      </c>
      <c r="BI3" s="58">
        <v>202209.87</v>
      </c>
      <c r="BJ3" s="58">
        <v>204138.18</v>
      </c>
      <c r="BK3" s="58">
        <v>206024.7</v>
      </c>
      <c r="BL3" s="58">
        <v>207875.4</v>
      </c>
      <c r="BM3" s="58">
        <v>209690.28</v>
      </c>
      <c r="BN3" s="58">
        <v>2388065.67</v>
      </c>
      <c r="BO3" s="58">
        <v>211469.34</v>
      </c>
      <c r="BP3" s="58">
        <v>213212.58</v>
      </c>
      <c r="BQ3" s="58">
        <v>214920</v>
      </c>
      <c r="BR3" s="58">
        <v>216591.6</v>
      </c>
      <c r="BS3" s="58">
        <v>218227.38</v>
      </c>
      <c r="BT3" s="58">
        <v>219833.31</v>
      </c>
      <c r="BU3" s="58">
        <v>221409.39</v>
      </c>
      <c r="BV3" s="58">
        <v>222949.65</v>
      </c>
      <c r="BW3" s="58">
        <v>224460.06</v>
      </c>
      <c r="BX3" s="58">
        <v>225940.62</v>
      </c>
      <c r="BY3" s="58">
        <v>227391.33</v>
      </c>
      <c r="BZ3" s="58">
        <v>228812.19</v>
      </c>
      <c r="CA3" s="58">
        <v>2645217.4500000002</v>
      </c>
      <c r="CB3" s="58">
        <v>230203.2</v>
      </c>
      <c r="CC3" s="58">
        <v>231570.33</v>
      </c>
      <c r="CD3" s="58">
        <v>232907.61</v>
      </c>
      <c r="CE3" s="58">
        <v>234221.01</v>
      </c>
      <c r="CF3" s="58">
        <v>235504.56</v>
      </c>
      <c r="CG3" s="58">
        <v>236764.23</v>
      </c>
      <c r="CH3" s="58">
        <v>238000.02</v>
      </c>
      <c r="CI3" s="58">
        <v>239211.93</v>
      </c>
      <c r="CJ3" s="58">
        <v>240399.96</v>
      </c>
      <c r="CK3" s="58">
        <v>241564.11</v>
      </c>
      <c r="CL3" s="58">
        <v>242704.38</v>
      </c>
      <c r="CM3" s="58">
        <v>243820.77</v>
      </c>
      <c r="CN3" s="58">
        <v>2846872.11</v>
      </c>
      <c r="CO3" s="58">
        <v>13127809.109999999</v>
      </c>
    </row>
    <row r="4" spans="1:93" ht="14.4" x14ac:dyDescent="0.3">
      <c r="A4" s="56" t="s">
        <v>311</v>
      </c>
      <c r="B4" s="58">
        <v>0</v>
      </c>
      <c r="C4" s="58">
        <v>955.2</v>
      </c>
      <c r="D4" s="58">
        <v>1891.3</v>
      </c>
      <c r="E4" s="58">
        <v>2808.29</v>
      </c>
      <c r="F4" s="58">
        <v>3707.13</v>
      </c>
      <c r="G4" s="58">
        <v>4587.83</v>
      </c>
      <c r="H4" s="58">
        <v>5451.33</v>
      </c>
      <c r="I4" s="58">
        <v>6297.63</v>
      </c>
      <c r="J4" s="58">
        <v>7126.75</v>
      </c>
      <c r="K4" s="58">
        <v>7939.62</v>
      </c>
      <c r="L4" s="58">
        <v>8736.26</v>
      </c>
      <c r="M4" s="58">
        <v>9516.66</v>
      </c>
      <c r="N4" s="58">
        <v>0</v>
      </c>
      <c r="O4" s="58">
        <v>10281.77</v>
      </c>
      <c r="P4" s="58">
        <v>11031.6</v>
      </c>
      <c r="Q4" s="58">
        <v>11766.15</v>
      </c>
      <c r="R4" s="58">
        <v>12486.37</v>
      </c>
      <c r="S4" s="58">
        <v>13192.27</v>
      </c>
      <c r="T4" s="58">
        <v>13883.83</v>
      </c>
      <c r="U4" s="58">
        <v>14561.07</v>
      </c>
      <c r="V4" s="58">
        <v>15224.93</v>
      </c>
      <c r="W4" s="58">
        <v>15875.42</v>
      </c>
      <c r="X4" s="58">
        <v>16513.5</v>
      </c>
      <c r="Y4" s="58">
        <v>17138.2</v>
      </c>
      <c r="Z4" s="58">
        <v>17750.48</v>
      </c>
      <c r="AA4" s="58">
        <v>10281.77</v>
      </c>
      <c r="AB4" s="58">
        <v>18350.349999999999</v>
      </c>
      <c r="AC4" s="58">
        <v>18938.75</v>
      </c>
      <c r="AD4" s="58">
        <v>19514.740000000002</v>
      </c>
      <c r="AE4" s="58">
        <v>20079.259999999998</v>
      </c>
      <c r="AF4" s="58">
        <v>20633.28</v>
      </c>
      <c r="AG4" s="58">
        <v>21175.83</v>
      </c>
      <c r="AH4" s="58">
        <v>21707.88</v>
      </c>
      <c r="AI4" s="58">
        <v>22228.46</v>
      </c>
      <c r="AJ4" s="58">
        <v>22739.49</v>
      </c>
      <c r="AK4" s="58">
        <v>23240.02</v>
      </c>
      <c r="AL4" s="58">
        <v>23730.03</v>
      </c>
      <c r="AM4" s="58">
        <v>24210.5</v>
      </c>
      <c r="AN4" s="58">
        <v>18350.349999999999</v>
      </c>
      <c r="AO4" s="58">
        <v>24681.41</v>
      </c>
      <c r="AP4" s="58">
        <v>25142.77</v>
      </c>
      <c r="AQ4" s="58">
        <v>25595.54</v>
      </c>
      <c r="AR4" s="58">
        <v>26038.75</v>
      </c>
      <c r="AS4" s="58">
        <v>26473.37</v>
      </c>
      <c r="AT4" s="58">
        <v>26899.39</v>
      </c>
      <c r="AU4" s="58">
        <v>27316.81</v>
      </c>
      <c r="AV4" s="58">
        <v>27725.64</v>
      </c>
      <c r="AW4" s="58">
        <v>28125.86</v>
      </c>
      <c r="AX4" s="58">
        <v>28518.45</v>
      </c>
      <c r="AY4" s="58">
        <v>28903.4</v>
      </c>
      <c r="AZ4" s="58">
        <v>29280.7</v>
      </c>
      <c r="BA4" s="58">
        <v>24681.41</v>
      </c>
      <c r="BB4" s="58">
        <v>29650.36</v>
      </c>
      <c r="BC4" s="58">
        <v>30012.38</v>
      </c>
      <c r="BD4" s="58">
        <v>30367.72</v>
      </c>
      <c r="BE4" s="58">
        <v>30715.41</v>
      </c>
      <c r="BF4" s="58">
        <v>31056.42</v>
      </c>
      <c r="BG4" s="58">
        <v>31390.74</v>
      </c>
      <c r="BH4" s="58">
        <v>31718.37</v>
      </c>
      <c r="BI4" s="58">
        <v>32039.32</v>
      </c>
      <c r="BJ4" s="58">
        <v>32353.58</v>
      </c>
      <c r="BK4" s="58">
        <v>32662.11</v>
      </c>
      <c r="BL4" s="58">
        <v>32963.949999999997</v>
      </c>
      <c r="BM4" s="58">
        <v>33260.06</v>
      </c>
      <c r="BN4" s="58">
        <v>29650.36</v>
      </c>
      <c r="BO4" s="58">
        <v>33550.44</v>
      </c>
      <c r="BP4" s="58">
        <v>33835.089999999997</v>
      </c>
      <c r="BQ4" s="58">
        <v>34114.01</v>
      </c>
      <c r="BR4" s="58">
        <v>34387.199999999997</v>
      </c>
      <c r="BS4" s="58">
        <v>34654.660000000003</v>
      </c>
      <c r="BT4" s="58">
        <v>34916.379999999997</v>
      </c>
      <c r="BU4" s="58">
        <v>35173.33</v>
      </c>
      <c r="BV4" s="58">
        <v>35425.5</v>
      </c>
      <c r="BW4" s="58">
        <v>35671.94</v>
      </c>
      <c r="BX4" s="58">
        <v>35913.61</v>
      </c>
      <c r="BY4" s="58">
        <v>36150.5</v>
      </c>
      <c r="BZ4" s="58">
        <v>36382.61</v>
      </c>
      <c r="CA4" s="58">
        <v>33550.44</v>
      </c>
      <c r="CB4" s="58">
        <v>36609.949999999997</v>
      </c>
      <c r="CC4" s="58">
        <v>36832.51</v>
      </c>
      <c r="CD4" s="58">
        <v>37051.25</v>
      </c>
      <c r="CE4" s="58">
        <v>37265.22</v>
      </c>
      <c r="CF4" s="58">
        <v>37475.360000000001</v>
      </c>
      <c r="CG4" s="58">
        <v>37680.730000000003</v>
      </c>
      <c r="CH4" s="58">
        <v>37882.28</v>
      </c>
      <c r="CI4" s="58">
        <v>38080</v>
      </c>
      <c r="CJ4" s="58">
        <v>38273.910000000003</v>
      </c>
      <c r="CK4" s="58">
        <v>38463.99</v>
      </c>
      <c r="CL4" s="58">
        <v>38650.26</v>
      </c>
      <c r="CM4" s="58">
        <v>38832.699999999997</v>
      </c>
      <c r="CN4" s="58">
        <v>36609.949999999997</v>
      </c>
      <c r="CO4" s="58">
        <v>0</v>
      </c>
    </row>
    <row r="5" spans="1:93" ht="14.4" x14ac:dyDescent="0.3">
      <c r="A5" s="56" t="s">
        <v>312</v>
      </c>
      <c r="B5" s="58">
        <v>955.2</v>
      </c>
      <c r="C5" s="58">
        <v>1891.3</v>
      </c>
      <c r="D5" s="58">
        <v>2808.29</v>
      </c>
      <c r="E5" s="58">
        <v>3707.13</v>
      </c>
      <c r="F5" s="58">
        <v>4587.83</v>
      </c>
      <c r="G5" s="58">
        <v>5451.33</v>
      </c>
      <c r="H5" s="58">
        <v>6297.63</v>
      </c>
      <c r="I5" s="58">
        <v>7126.75</v>
      </c>
      <c r="J5" s="58">
        <v>7939.62</v>
      </c>
      <c r="K5" s="58">
        <v>8736.26</v>
      </c>
      <c r="L5" s="58">
        <v>9516.66</v>
      </c>
      <c r="M5" s="58">
        <v>10281.77</v>
      </c>
      <c r="N5" s="58">
        <v>69299.77</v>
      </c>
      <c r="O5" s="58">
        <v>11031.6</v>
      </c>
      <c r="P5" s="58">
        <v>11766.15</v>
      </c>
      <c r="Q5" s="58">
        <v>12486.37</v>
      </c>
      <c r="R5" s="58">
        <v>13192.27</v>
      </c>
      <c r="S5" s="58">
        <v>13883.83</v>
      </c>
      <c r="T5" s="58">
        <v>14561.07</v>
      </c>
      <c r="U5" s="58">
        <v>15224.93</v>
      </c>
      <c r="V5" s="58">
        <v>15875.42</v>
      </c>
      <c r="W5" s="58">
        <v>16513.5</v>
      </c>
      <c r="X5" s="58">
        <v>17138.2</v>
      </c>
      <c r="Y5" s="58">
        <v>17750.48</v>
      </c>
      <c r="Z5" s="58">
        <v>18350.349999999999</v>
      </c>
      <c r="AA5" s="58">
        <v>177774.17</v>
      </c>
      <c r="AB5" s="58">
        <v>18938.75</v>
      </c>
      <c r="AC5" s="58">
        <v>19514.740000000002</v>
      </c>
      <c r="AD5" s="58">
        <v>20079.259999999998</v>
      </c>
      <c r="AE5" s="58">
        <v>20633.28</v>
      </c>
      <c r="AF5" s="58">
        <v>21175.83</v>
      </c>
      <c r="AG5" s="58">
        <v>21707.88</v>
      </c>
      <c r="AH5" s="58">
        <v>22228.46</v>
      </c>
      <c r="AI5" s="58">
        <v>22739.49</v>
      </c>
      <c r="AJ5" s="58">
        <v>23240.02</v>
      </c>
      <c r="AK5" s="58">
        <v>23730.03</v>
      </c>
      <c r="AL5" s="58">
        <v>24210.5</v>
      </c>
      <c r="AM5" s="58">
        <v>24681.41</v>
      </c>
      <c r="AN5" s="58">
        <v>262879.65000000002</v>
      </c>
      <c r="AO5" s="58">
        <v>25142.77</v>
      </c>
      <c r="AP5" s="58">
        <v>25595.54</v>
      </c>
      <c r="AQ5" s="58">
        <v>26038.75</v>
      </c>
      <c r="AR5" s="58">
        <v>26473.37</v>
      </c>
      <c r="AS5" s="58">
        <v>26899.39</v>
      </c>
      <c r="AT5" s="58">
        <v>27316.81</v>
      </c>
      <c r="AU5" s="58">
        <v>27725.64</v>
      </c>
      <c r="AV5" s="58">
        <v>28125.86</v>
      </c>
      <c r="AW5" s="58">
        <v>28518.45</v>
      </c>
      <c r="AX5" s="58">
        <v>28903.4</v>
      </c>
      <c r="AY5" s="58">
        <v>29280.7</v>
      </c>
      <c r="AZ5" s="58">
        <v>29650.36</v>
      </c>
      <c r="BA5" s="58">
        <v>329671.03999999998</v>
      </c>
      <c r="BB5" s="58">
        <v>30012.38</v>
      </c>
      <c r="BC5" s="58">
        <v>30367.72</v>
      </c>
      <c r="BD5" s="58">
        <v>30715.41</v>
      </c>
      <c r="BE5" s="58">
        <v>31056.42</v>
      </c>
      <c r="BF5" s="58">
        <v>31390.74</v>
      </c>
      <c r="BG5" s="58">
        <v>31718.37</v>
      </c>
      <c r="BH5" s="58">
        <v>32039.32</v>
      </c>
      <c r="BI5" s="58">
        <v>32353.58</v>
      </c>
      <c r="BJ5" s="58">
        <v>32662.11</v>
      </c>
      <c r="BK5" s="58">
        <v>32963.949999999997</v>
      </c>
      <c r="BL5" s="58">
        <v>33260.06</v>
      </c>
      <c r="BM5" s="58">
        <v>33550.44</v>
      </c>
      <c r="BN5" s="58">
        <v>382090.5</v>
      </c>
      <c r="BO5" s="58">
        <v>33835.089999999997</v>
      </c>
      <c r="BP5" s="58">
        <v>34114.01</v>
      </c>
      <c r="BQ5" s="58">
        <v>34387.199999999997</v>
      </c>
      <c r="BR5" s="58">
        <v>34654.660000000003</v>
      </c>
      <c r="BS5" s="58">
        <v>34916.379999999997</v>
      </c>
      <c r="BT5" s="58">
        <v>35173.33</v>
      </c>
      <c r="BU5" s="58">
        <v>35425.5</v>
      </c>
      <c r="BV5" s="58">
        <v>35671.94</v>
      </c>
      <c r="BW5" s="58">
        <v>35913.61</v>
      </c>
      <c r="BX5" s="58">
        <v>36150.5</v>
      </c>
      <c r="BY5" s="58">
        <v>36382.61</v>
      </c>
      <c r="BZ5" s="58">
        <v>36609.949999999997</v>
      </c>
      <c r="CA5" s="58">
        <v>423234.78</v>
      </c>
      <c r="CB5" s="58">
        <v>36832.51</v>
      </c>
      <c r="CC5" s="58">
        <v>37051.25</v>
      </c>
      <c r="CD5" s="58">
        <v>37265.22</v>
      </c>
      <c r="CE5" s="58">
        <v>37475.360000000001</v>
      </c>
      <c r="CF5" s="58">
        <v>37680.730000000003</v>
      </c>
      <c r="CG5" s="58">
        <v>37882.28</v>
      </c>
      <c r="CH5" s="58">
        <v>38080</v>
      </c>
      <c r="CI5" s="58">
        <v>38273.910000000003</v>
      </c>
      <c r="CJ5" s="58">
        <v>38463.99</v>
      </c>
      <c r="CK5" s="58">
        <v>38650.26</v>
      </c>
      <c r="CL5" s="58">
        <v>38832.699999999997</v>
      </c>
      <c r="CM5" s="58">
        <v>39011.32</v>
      </c>
      <c r="CN5" s="58">
        <v>455499.53</v>
      </c>
      <c r="CO5" s="58">
        <v>2100449.44</v>
      </c>
    </row>
    <row r="6" spans="1:93" ht="14.4" x14ac:dyDescent="0.3">
      <c r="A6" s="56" t="s">
        <v>313</v>
      </c>
      <c r="B6" s="58">
        <v>0</v>
      </c>
      <c r="C6" s="58">
        <v>955.2</v>
      </c>
      <c r="D6" s="58">
        <v>1891.3</v>
      </c>
      <c r="E6" s="58">
        <v>2808.29</v>
      </c>
      <c r="F6" s="58">
        <v>3707.13</v>
      </c>
      <c r="G6" s="58">
        <v>4587.83</v>
      </c>
      <c r="H6" s="58">
        <v>5451.33</v>
      </c>
      <c r="I6" s="58">
        <v>6297.63</v>
      </c>
      <c r="J6" s="58">
        <v>7126.75</v>
      </c>
      <c r="K6" s="58">
        <v>7939.62</v>
      </c>
      <c r="L6" s="58">
        <v>8736.26</v>
      </c>
      <c r="M6" s="58">
        <v>9516.66</v>
      </c>
      <c r="N6" s="58">
        <v>59018</v>
      </c>
      <c r="O6" s="58">
        <v>10281.77</v>
      </c>
      <c r="P6" s="58">
        <v>11031.6</v>
      </c>
      <c r="Q6" s="58">
        <v>11766.15</v>
      </c>
      <c r="R6" s="58">
        <v>12486.37</v>
      </c>
      <c r="S6" s="58">
        <v>13192.27</v>
      </c>
      <c r="T6" s="58">
        <v>13883.83</v>
      </c>
      <c r="U6" s="58">
        <v>14561.07</v>
      </c>
      <c r="V6" s="58">
        <v>15224.93</v>
      </c>
      <c r="W6" s="58">
        <v>15875.42</v>
      </c>
      <c r="X6" s="58">
        <v>16513.5</v>
      </c>
      <c r="Y6" s="58">
        <v>17138.2</v>
      </c>
      <c r="Z6" s="58">
        <v>17750.48</v>
      </c>
      <c r="AA6" s="58">
        <v>169705.59</v>
      </c>
      <c r="AB6" s="58">
        <v>18350.349999999999</v>
      </c>
      <c r="AC6" s="58">
        <v>18938.75</v>
      </c>
      <c r="AD6" s="58">
        <v>19514.740000000002</v>
      </c>
      <c r="AE6" s="58">
        <v>20079.259999999998</v>
      </c>
      <c r="AF6" s="58">
        <v>20633.28</v>
      </c>
      <c r="AG6" s="58">
        <v>21175.83</v>
      </c>
      <c r="AH6" s="58">
        <v>21707.88</v>
      </c>
      <c r="AI6" s="58">
        <v>22228.46</v>
      </c>
      <c r="AJ6" s="58">
        <v>22739.49</v>
      </c>
      <c r="AK6" s="58">
        <v>23240.02</v>
      </c>
      <c r="AL6" s="58">
        <v>23730.03</v>
      </c>
      <c r="AM6" s="58">
        <v>24210.5</v>
      </c>
      <c r="AN6" s="58">
        <v>256548.59</v>
      </c>
      <c r="AO6" s="58">
        <v>24681.41</v>
      </c>
      <c r="AP6" s="58">
        <v>25142.77</v>
      </c>
      <c r="AQ6" s="58">
        <v>25595.54</v>
      </c>
      <c r="AR6" s="58">
        <v>26038.75</v>
      </c>
      <c r="AS6" s="58">
        <v>26473.37</v>
      </c>
      <c r="AT6" s="58">
        <v>26899.39</v>
      </c>
      <c r="AU6" s="58">
        <v>27316.81</v>
      </c>
      <c r="AV6" s="58">
        <v>27725.64</v>
      </c>
      <c r="AW6" s="58">
        <v>28125.86</v>
      </c>
      <c r="AX6" s="58">
        <v>28518.45</v>
      </c>
      <c r="AY6" s="58">
        <v>28903.4</v>
      </c>
      <c r="AZ6" s="58">
        <v>29280.7</v>
      </c>
      <c r="BA6" s="58">
        <v>324702.09000000003</v>
      </c>
      <c r="BB6" s="58">
        <v>29650.36</v>
      </c>
      <c r="BC6" s="58">
        <v>30012.38</v>
      </c>
      <c r="BD6" s="58">
        <v>30367.72</v>
      </c>
      <c r="BE6" s="58">
        <v>30715.41</v>
      </c>
      <c r="BF6" s="58">
        <v>31056.42</v>
      </c>
      <c r="BG6" s="58">
        <v>31390.74</v>
      </c>
      <c r="BH6" s="58">
        <v>31718.37</v>
      </c>
      <c r="BI6" s="58">
        <v>32039.32</v>
      </c>
      <c r="BJ6" s="58">
        <v>32353.58</v>
      </c>
      <c r="BK6" s="58">
        <v>32662.11</v>
      </c>
      <c r="BL6" s="58">
        <v>32963.949999999997</v>
      </c>
      <c r="BM6" s="58">
        <v>33260.06</v>
      </c>
      <c r="BN6" s="58">
        <v>378190.42</v>
      </c>
      <c r="BO6" s="58">
        <v>33550.44</v>
      </c>
      <c r="BP6" s="58">
        <v>33835.089999999997</v>
      </c>
      <c r="BQ6" s="58">
        <v>34114.01</v>
      </c>
      <c r="BR6" s="58">
        <v>34387.199999999997</v>
      </c>
      <c r="BS6" s="58">
        <v>34654.660000000003</v>
      </c>
      <c r="BT6" s="58">
        <v>34916.379999999997</v>
      </c>
      <c r="BU6" s="58">
        <v>35173.33</v>
      </c>
      <c r="BV6" s="58">
        <v>35425.5</v>
      </c>
      <c r="BW6" s="58">
        <v>35671.94</v>
      </c>
      <c r="BX6" s="58">
        <v>35913.61</v>
      </c>
      <c r="BY6" s="58">
        <v>36150.5</v>
      </c>
      <c r="BZ6" s="58">
        <v>36382.61</v>
      </c>
      <c r="CA6" s="58">
        <v>420175.27</v>
      </c>
      <c r="CB6" s="58">
        <v>36609.949999999997</v>
      </c>
      <c r="CC6" s="58">
        <v>36832.51</v>
      </c>
      <c r="CD6" s="58">
        <v>37051.25</v>
      </c>
      <c r="CE6" s="58">
        <v>37265.22</v>
      </c>
      <c r="CF6" s="58">
        <v>37475.360000000001</v>
      </c>
      <c r="CG6" s="58">
        <v>37680.730000000003</v>
      </c>
      <c r="CH6" s="58">
        <v>37882.28</v>
      </c>
      <c r="CI6" s="58">
        <v>38080</v>
      </c>
      <c r="CJ6" s="58">
        <v>38273.910000000003</v>
      </c>
      <c r="CK6" s="58">
        <v>38463.99</v>
      </c>
      <c r="CL6" s="58">
        <v>38650.26</v>
      </c>
      <c r="CM6" s="58">
        <v>38832.699999999997</v>
      </c>
      <c r="CN6" s="58">
        <v>453098.16</v>
      </c>
      <c r="CO6" s="58">
        <v>2061438.12</v>
      </c>
    </row>
    <row r="7" spans="1:93" ht="14.4" x14ac:dyDescent="0.3">
      <c r="A7" s="56" t="s">
        <v>314</v>
      </c>
      <c r="B7" s="58">
        <v>955.2</v>
      </c>
      <c r="C7" s="58">
        <v>1891.3</v>
      </c>
      <c r="D7" s="58">
        <v>2808.29</v>
      </c>
      <c r="E7" s="58">
        <v>3707.13</v>
      </c>
      <c r="F7" s="58">
        <v>4587.83</v>
      </c>
      <c r="G7" s="58">
        <v>5451.33</v>
      </c>
      <c r="H7" s="58">
        <v>6297.63</v>
      </c>
      <c r="I7" s="58">
        <v>7126.75</v>
      </c>
      <c r="J7" s="58">
        <v>7939.62</v>
      </c>
      <c r="K7" s="58">
        <v>8736.26</v>
      </c>
      <c r="L7" s="58">
        <v>9516.66</v>
      </c>
      <c r="M7" s="58">
        <v>10281.77</v>
      </c>
      <c r="N7" s="58">
        <v>10281.77</v>
      </c>
      <c r="O7" s="58">
        <v>11031.6</v>
      </c>
      <c r="P7" s="58">
        <v>11766.15</v>
      </c>
      <c r="Q7" s="58">
        <v>12486.37</v>
      </c>
      <c r="R7" s="58">
        <v>13192.27</v>
      </c>
      <c r="S7" s="58">
        <v>13883.83</v>
      </c>
      <c r="T7" s="58">
        <v>14561.07</v>
      </c>
      <c r="U7" s="58">
        <v>15224.93</v>
      </c>
      <c r="V7" s="58">
        <v>15875.42</v>
      </c>
      <c r="W7" s="58">
        <v>16513.5</v>
      </c>
      <c r="X7" s="58">
        <v>17138.2</v>
      </c>
      <c r="Y7" s="58">
        <v>17750.48</v>
      </c>
      <c r="Z7" s="58">
        <v>18350.349999999999</v>
      </c>
      <c r="AA7" s="58">
        <v>18350.349999999999</v>
      </c>
      <c r="AB7" s="58">
        <v>18938.75</v>
      </c>
      <c r="AC7" s="58">
        <v>19514.740000000002</v>
      </c>
      <c r="AD7" s="58">
        <v>20079.259999999998</v>
      </c>
      <c r="AE7" s="58">
        <v>20633.28</v>
      </c>
      <c r="AF7" s="58">
        <v>21175.83</v>
      </c>
      <c r="AG7" s="58">
        <v>21707.88</v>
      </c>
      <c r="AH7" s="58">
        <v>22228.46</v>
      </c>
      <c r="AI7" s="58">
        <v>22739.49</v>
      </c>
      <c r="AJ7" s="58">
        <v>23240.02</v>
      </c>
      <c r="AK7" s="58">
        <v>23730.03</v>
      </c>
      <c r="AL7" s="58">
        <v>24210.5</v>
      </c>
      <c r="AM7" s="58">
        <v>24681.41</v>
      </c>
      <c r="AN7" s="58">
        <v>24681.41</v>
      </c>
      <c r="AO7" s="58">
        <v>25142.77</v>
      </c>
      <c r="AP7" s="58">
        <v>25595.54</v>
      </c>
      <c r="AQ7" s="58">
        <v>26038.75</v>
      </c>
      <c r="AR7" s="58">
        <v>26473.37</v>
      </c>
      <c r="AS7" s="58">
        <v>26899.39</v>
      </c>
      <c r="AT7" s="58">
        <v>27316.81</v>
      </c>
      <c r="AU7" s="58">
        <v>27725.64</v>
      </c>
      <c r="AV7" s="58">
        <v>28125.86</v>
      </c>
      <c r="AW7" s="58">
        <v>28518.45</v>
      </c>
      <c r="AX7" s="58">
        <v>28903.4</v>
      </c>
      <c r="AY7" s="58">
        <v>29280.7</v>
      </c>
      <c r="AZ7" s="58">
        <v>29650.36</v>
      </c>
      <c r="BA7" s="58">
        <v>29650.36</v>
      </c>
      <c r="BB7" s="58">
        <v>30012.38</v>
      </c>
      <c r="BC7" s="58">
        <v>30367.72</v>
      </c>
      <c r="BD7" s="58">
        <v>30715.41</v>
      </c>
      <c r="BE7" s="58">
        <v>31056.42</v>
      </c>
      <c r="BF7" s="58">
        <v>31390.74</v>
      </c>
      <c r="BG7" s="58">
        <v>31718.37</v>
      </c>
      <c r="BH7" s="58">
        <v>32039.32</v>
      </c>
      <c r="BI7" s="58">
        <v>32353.58</v>
      </c>
      <c r="BJ7" s="58">
        <v>32662.11</v>
      </c>
      <c r="BK7" s="58">
        <v>32963.949999999997</v>
      </c>
      <c r="BL7" s="58">
        <v>33260.06</v>
      </c>
      <c r="BM7" s="58">
        <v>33550.44</v>
      </c>
      <c r="BN7" s="58">
        <v>33550.44</v>
      </c>
      <c r="BO7" s="58">
        <v>33835.089999999997</v>
      </c>
      <c r="BP7" s="58">
        <v>34114.01</v>
      </c>
      <c r="BQ7" s="58">
        <v>34387.199999999997</v>
      </c>
      <c r="BR7" s="58">
        <v>34654.660000000003</v>
      </c>
      <c r="BS7" s="58">
        <v>34916.379999999997</v>
      </c>
      <c r="BT7" s="58">
        <v>35173.33</v>
      </c>
      <c r="BU7" s="58">
        <v>35425.5</v>
      </c>
      <c r="BV7" s="58">
        <v>35671.94</v>
      </c>
      <c r="BW7" s="58">
        <v>35913.61</v>
      </c>
      <c r="BX7" s="58">
        <v>36150.5</v>
      </c>
      <c r="BY7" s="58">
        <v>36382.61</v>
      </c>
      <c r="BZ7" s="58">
        <v>36609.949999999997</v>
      </c>
      <c r="CA7" s="58">
        <v>36609.949999999997</v>
      </c>
      <c r="CB7" s="58">
        <v>36832.51</v>
      </c>
      <c r="CC7" s="58">
        <v>37051.25</v>
      </c>
      <c r="CD7" s="58">
        <v>37265.22</v>
      </c>
      <c r="CE7" s="58">
        <v>37475.360000000001</v>
      </c>
      <c r="CF7" s="58">
        <v>37680.730000000003</v>
      </c>
      <c r="CG7" s="58">
        <v>37882.28</v>
      </c>
      <c r="CH7" s="58">
        <v>38080</v>
      </c>
      <c r="CI7" s="58">
        <v>38273.910000000003</v>
      </c>
      <c r="CJ7" s="58">
        <v>38463.99</v>
      </c>
      <c r="CK7" s="58">
        <v>38650.26</v>
      </c>
      <c r="CL7" s="58">
        <v>38832.699999999997</v>
      </c>
      <c r="CM7" s="58">
        <v>39011.32</v>
      </c>
      <c r="CN7" s="58">
        <v>39011.32</v>
      </c>
      <c r="CO7" s="58">
        <v>39011.32</v>
      </c>
    </row>
    <row r="8" spans="1:93" ht="14.4" x14ac:dyDescent="0.3">
      <c r="A8" s="56" t="s">
        <v>169</v>
      </c>
    </row>
    <row r="9" spans="1:93" ht="14.4" x14ac:dyDescent="0.3">
      <c r="A9" s="56" t="s">
        <v>227</v>
      </c>
    </row>
    <row r="10" spans="1:93" ht="14.4" x14ac:dyDescent="0.3">
      <c r="A10" s="56" t="s">
        <v>315</v>
      </c>
      <c r="B10" s="58">
        <v>2388</v>
      </c>
      <c r="C10" s="58">
        <v>4728.24</v>
      </c>
      <c r="D10" s="58">
        <v>7020.72</v>
      </c>
      <c r="E10" s="58">
        <v>9267.83</v>
      </c>
      <c r="F10" s="58">
        <v>11469.56</v>
      </c>
      <c r="G10" s="58">
        <v>13628.32</v>
      </c>
      <c r="H10" s="58">
        <v>15744.08</v>
      </c>
      <c r="I10" s="58">
        <v>17816.87</v>
      </c>
      <c r="J10" s="58">
        <v>19849.060000000001</v>
      </c>
      <c r="K10" s="58">
        <v>21840.65</v>
      </c>
      <c r="L10" s="58">
        <v>23791.64</v>
      </c>
      <c r="M10" s="58">
        <v>25704.43</v>
      </c>
      <c r="N10" s="58">
        <v>173249.4</v>
      </c>
      <c r="O10" s="58">
        <v>27579.01</v>
      </c>
      <c r="P10" s="58">
        <v>29415.38</v>
      </c>
      <c r="Q10" s="58">
        <v>31215.94</v>
      </c>
      <c r="R10" s="58">
        <v>32980.67</v>
      </c>
      <c r="S10" s="58">
        <v>34709.58</v>
      </c>
      <c r="T10" s="58">
        <v>36402.67</v>
      </c>
      <c r="U10" s="58">
        <v>38062.33</v>
      </c>
      <c r="V10" s="58">
        <v>39688.559999999998</v>
      </c>
      <c r="W10" s="58">
        <v>41283.74</v>
      </c>
      <c r="X10" s="58">
        <v>42845.5</v>
      </c>
      <c r="Y10" s="58">
        <v>44376.2</v>
      </c>
      <c r="Z10" s="58">
        <v>45875.87</v>
      </c>
      <c r="AA10" s="58">
        <v>444435.45</v>
      </c>
      <c r="AB10" s="58">
        <v>47346.879999999997</v>
      </c>
      <c r="AC10" s="58">
        <v>48786.84</v>
      </c>
      <c r="AD10" s="58">
        <v>50198.15</v>
      </c>
      <c r="AE10" s="58">
        <v>51583.19</v>
      </c>
      <c r="AF10" s="58">
        <v>52939.57</v>
      </c>
      <c r="AG10" s="58">
        <v>54269.69</v>
      </c>
      <c r="AH10" s="58">
        <v>55571.15</v>
      </c>
      <c r="AI10" s="58">
        <v>56848.73</v>
      </c>
      <c r="AJ10" s="58">
        <v>58100.04</v>
      </c>
      <c r="AK10" s="58">
        <v>59325.08</v>
      </c>
      <c r="AL10" s="58">
        <v>60526.25</v>
      </c>
      <c r="AM10" s="58">
        <v>61703.53</v>
      </c>
      <c r="AN10" s="58">
        <v>657199.1</v>
      </c>
      <c r="AO10" s="58">
        <v>62856.94</v>
      </c>
      <c r="AP10" s="58">
        <v>63988.85</v>
      </c>
      <c r="AQ10" s="58">
        <v>65096.88</v>
      </c>
      <c r="AR10" s="58">
        <v>66183.42</v>
      </c>
      <c r="AS10" s="58">
        <v>67248.47</v>
      </c>
      <c r="AT10" s="58">
        <v>68292.02</v>
      </c>
      <c r="AU10" s="58">
        <v>69314.09</v>
      </c>
      <c r="AV10" s="58">
        <v>70314.66</v>
      </c>
      <c r="AW10" s="58">
        <v>71296.13</v>
      </c>
      <c r="AX10" s="58">
        <v>72258.490000000005</v>
      </c>
      <c r="AY10" s="58">
        <v>73201.75</v>
      </c>
      <c r="AZ10" s="58">
        <v>74125.91</v>
      </c>
      <c r="BA10" s="58">
        <v>824177.61</v>
      </c>
      <c r="BB10" s="58">
        <v>75030.960000000006</v>
      </c>
      <c r="BC10" s="58">
        <v>75919.3</v>
      </c>
      <c r="BD10" s="58">
        <v>76788.53</v>
      </c>
      <c r="BE10" s="58">
        <v>77641.039999999994</v>
      </c>
      <c r="BF10" s="58">
        <v>78476.84</v>
      </c>
      <c r="BG10" s="58">
        <v>79295.929999999993</v>
      </c>
      <c r="BH10" s="58">
        <v>80098.3</v>
      </c>
      <c r="BI10" s="58">
        <v>80883.95</v>
      </c>
      <c r="BJ10" s="58">
        <v>81655.27</v>
      </c>
      <c r="BK10" s="58">
        <v>82409.88</v>
      </c>
      <c r="BL10" s="58">
        <v>83150.16</v>
      </c>
      <c r="BM10" s="58">
        <v>83876.11</v>
      </c>
      <c r="BN10" s="58">
        <v>955226.27</v>
      </c>
      <c r="BO10" s="58">
        <v>84587.74</v>
      </c>
      <c r="BP10" s="58">
        <v>85285.03</v>
      </c>
      <c r="BQ10" s="58">
        <v>85968</v>
      </c>
      <c r="BR10" s="58">
        <v>86636.64</v>
      </c>
      <c r="BS10" s="58">
        <v>87290.95</v>
      </c>
      <c r="BT10" s="58">
        <v>87933.32</v>
      </c>
      <c r="BU10" s="58">
        <v>88563.76</v>
      </c>
      <c r="BV10" s="58">
        <v>89179.86</v>
      </c>
      <c r="BW10" s="58">
        <v>89784.02</v>
      </c>
      <c r="BX10" s="58">
        <v>90376.25</v>
      </c>
      <c r="BY10" s="58">
        <v>90956.53</v>
      </c>
      <c r="BZ10" s="58">
        <v>91524.88</v>
      </c>
      <c r="CA10" s="58">
        <v>1058086.98</v>
      </c>
      <c r="CB10" s="58">
        <v>92081.279999999999</v>
      </c>
      <c r="CC10" s="58">
        <v>92628.13</v>
      </c>
      <c r="CD10" s="58">
        <v>93163.04</v>
      </c>
      <c r="CE10" s="58">
        <v>93688.4</v>
      </c>
      <c r="CF10" s="58">
        <v>94201.82</v>
      </c>
      <c r="CG10" s="58">
        <v>94705.69</v>
      </c>
      <c r="CH10" s="58">
        <v>95200.01</v>
      </c>
      <c r="CI10" s="58">
        <v>95684.77</v>
      </c>
      <c r="CJ10" s="58">
        <v>96159.98</v>
      </c>
      <c r="CK10" s="58">
        <v>96625.64</v>
      </c>
      <c r="CL10" s="58">
        <v>97081.75</v>
      </c>
      <c r="CM10" s="58">
        <v>97528.31</v>
      </c>
      <c r="CN10" s="58">
        <v>1138748.82</v>
      </c>
      <c r="CO10" s="58">
        <v>5251123.63</v>
      </c>
    </row>
    <row r="11" spans="1:93" ht="14.4" x14ac:dyDescent="0.3">
      <c r="A11" s="56" t="s">
        <v>311</v>
      </c>
      <c r="B11" s="58">
        <v>0</v>
      </c>
      <c r="C11" s="58">
        <v>382.08</v>
      </c>
      <c r="D11" s="58">
        <v>756.52</v>
      </c>
      <c r="E11" s="58">
        <v>1123.32</v>
      </c>
      <c r="F11" s="58">
        <v>1482.85</v>
      </c>
      <c r="G11" s="58">
        <v>1835.13</v>
      </c>
      <c r="H11" s="58">
        <v>2180.5300000000002</v>
      </c>
      <c r="I11" s="58">
        <v>2519.0500000000002</v>
      </c>
      <c r="J11" s="58">
        <v>2850.7</v>
      </c>
      <c r="K11" s="58">
        <v>3175.85</v>
      </c>
      <c r="L11" s="58">
        <v>3494.5</v>
      </c>
      <c r="M11" s="58">
        <v>3806.66</v>
      </c>
      <c r="N11" s="58">
        <v>0</v>
      </c>
      <c r="O11" s="58">
        <v>4112.71</v>
      </c>
      <c r="P11" s="58">
        <v>4412.6400000000003</v>
      </c>
      <c r="Q11" s="58">
        <v>4706.46</v>
      </c>
      <c r="R11" s="58">
        <v>4994.55</v>
      </c>
      <c r="S11" s="58">
        <v>5276.91</v>
      </c>
      <c r="T11" s="58">
        <v>5553.53</v>
      </c>
      <c r="U11" s="58">
        <v>5824.43</v>
      </c>
      <c r="V11" s="58">
        <v>6089.97</v>
      </c>
      <c r="W11" s="58">
        <v>6350.17</v>
      </c>
      <c r="X11" s="58">
        <v>6605.4</v>
      </c>
      <c r="Y11" s="58">
        <v>6855.28</v>
      </c>
      <c r="Z11" s="58">
        <v>7100.19</v>
      </c>
      <c r="AA11" s="58">
        <v>4112.71</v>
      </c>
      <c r="AB11" s="58">
        <v>7340.14</v>
      </c>
      <c r="AC11" s="58">
        <v>7575.5</v>
      </c>
      <c r="AD11" s="58">
        <v>7805.89</v>
      </c>
      <c r="AE11" s="58">
        <v>8031.7</v>
      </c>
      <c r="AF11" s="58">
        <v>8253.31</v>
      </c>
      <c r="AG11" s="58">
        <v>8470.33</v>
      </c>
      <c r="AH11" s="58">
        <v>8683.15</v>
      </c>
      <c r="AI11" s="58">
        <v>8891.3799999999992</v>
      </c>
      <c r="AJ11" s="58">
        <v>9095.7999999999993</v>
      </c>
      <c r="AK11" s="58">
        <v>9296.01</v>
      </c>
      <c r="AL11" s="58">
        <v>9492.01</v>
      </c>
      <c r="AM11" s="58">
        <v>9684.2000000000007</v>
      </c>
      <c r="AN11" s="58">
        <v>7340.14</v>
      </c>
      <c r="AO11" s="58">
        <v>9872.56</v>
      </c>
      <c r="AP11" s="58">
        <v>10057.11</v>
      </c>
      <c r="AQ11" s="58">
        <v>10238.219999999999</v>
      </c>
      <c r="AR11" s="58">
        <v>10415.5</v>
      </c>
      <c r="AS11" s="58">
        <v>10589.35</v>
      </c>
      <c r="AT11" s="58">
        <v>10759.76</v>
      </c>
      <c r="AU11" s="58">
        <v>10926.72</v>
      </c>
      <c r="AV11" s="58">
        <v>11090.25</v>
      </c>
      <c r="AW11" s="58">
        <v>11250.35</v>
      </c>
      <c r="AX11" s="58">
        <v>11407.38</v>
      </c>
      <c r="AY11" s="58">
        <v>11561.36</v>
      </c>
      <c r="AZ11" s="58">
        <v>11712.28</v>
      </c>
      <c r="BA11" s="58">
        <v>9872.56</v>
      </c>
      <c r="BB11" s="58">
        <v>11860.15</v>
      </c>
      <c r="BC11" s="58">
        <v>12004.95</v>
      </c>
      <c r="BD11" s="58">
        <v>12147.09</v>
      </c>
      <c r="BE11" s="58">
        <v>12286.16</v>
      </c>
      <c r="BF11" s="58">
        <v>12422.57</v>
      </c>
      <c r="BG11" s="58">
        <v>12556.29</v>
      </c>
      <c r="BH11" s="58">
        <v>12687.35</v>
      </c>
      <c r="BI11" s="58">
        <v>12815.73</v>
      </c>
      <c r="BJ11" s="58">
        <v>12941.43</v>
      </c>
      <c r="BK11" s="58">
        <v>13064.84</v>
      </c>
      <c r="BL11" s="58">
        <v>13185.58</v>
      </c>
      <c r="BM11" s="58">
        <v>13304.03</v>
      </c>
      <c r="BN11" s="58">
        <v>11860.15</v>
      </c>
      <c r="BO11" s="58">
        <v>13420.18</v>
      </c>
      <c r="BP11" s="58">
        <v>13534.04</v>
      </c>
      <c r="BQ11" s="58">
        <v>13645.6</v>
      </c>
      <c r="BR11" s="58">
        <v>13754.88</v>
      </c>
      <c r="BS11" s="58">
        <v>13861.86</v>
      </c>
      <c r="BT11" s="58">
        <v>13966.55</v>
      </c>
      <c r="BU11" s="58">
        <v>14069.33</v>
      </c>
      <c r="BV11" s="58">
        <v>14170.2</v>
      </c>
      <c r="BW11" s="58">
        <v>14268.78</v>
      </c>
      <c r="BX11" s="58">
        <v>14365.44</v>
      </c>
      <c r="BY11" s="58">
        <v>14460.2</v>
      </c>
      <c r="BZ11" s="58">
        <v>14553.04</v>
      </c>
      <c r="CA11" s="58">
        <v>13420.18</v>
      </c>
      <c r="CB11" s="58">
        <v>14643.98</v>
      </c>
      <c r="CC11" s="58">
        <v>14733</v>
      </c>
      <c r="CD11" s="58">
        <v>14820.5</v>
      </c>
      <c r="CE11" s="58">
        <v>14906.09</v>
      </c>
      <c r="CF11" s="58">
        <v>14990.14</v>
      </c>
      <c r="CG11" s="58">
        <v>15072.29</v>
      </c>
      <c r="CH11" s="58">
        <v>15152.91</v>
      </c>
      <c r="CI11" s="58">
        <v>15232</v>
      </c>
      <c r="CJ11" s="58">
        <v>15309.56</v>
      </c>
      <c r="CK11" s="58">
        <v>15385.6</v>
      </c>
      <c r="CL11" s="58">
        <v>15460.1</v>
      </c>
      <c r="CM11" s="58">
        <v>15533.08</v>
      </c>
      <c r="CN11" s="58">
        <v>14643.98</v>
      </c>
      <c r="CO11" s="58">
        <v>0</v>
      </c>
    </row>
    <row r="12" spans="1:93" ht="14.4" x14ac:dyDescent="0.3">
      <c r="A12" s="56" t="s">
        <v>312</v>
      </c>
      <c r="B12" s="58">
        <v>382.08</v>
      </c>
      <c r="C12" s="58">
        <v>756.52</v>
      </c>
      <c r="D12" s="58">
        <v>1123.32</v>
      </c>
      <c r="E12" s="58">
        <v>1482.85</v>
      </c>
      <c r="F12" s="58">
        <v>1835.13</v>
      </c>
      <c r="G12" s="58">
        <v>2180.5300000000002</v>
      </c>
      <c r="H12" s="58">
        <v>2519.0500000000002</v>
      </c>
      <c r="I12" s="58">
        <v>2850.7</v>
      </c>
      <c r="J12" s="58">
        <v>3175.85</v>
      </c>
      <c r="K12" s="58">
        <v>3494.5</v>
      </c>
      <c r="L12" s="58">
        <v>3806.66</v>
      </c>
      <c r="M12" s="58">
        <v>4112.71</v>
      </c>
      <c r="N12" s="58">
        <v>27719.9</v>
      </c>
      <c r="O12" s="58">
        <v>4412.6400000000003</v>
      </c>
      <c r="P12" s="58">
        <v>4706.46</v>
      </c>
      <c r="Q12" s="58">
        <v>4994.55</v>
      </c>
      <c r="R12" s="58">
        <v>5276.91</v>
      </c>
      <c r="S12" s="58">
        <v>5553.53</v>
      </c>
      <c r="T12" s="58">
        <v>5824.43</v>
      </c>
      <c r="U12" s="58">
        <v>6089.97</v>
      </c>
      <c r="V12" s="58">
        <v>6350.17</v>
      </c>
      <c r="W12" s="58">
        <v>6605.4</v>
      </c>
      <c r="X12" s="58">
        <v>6855.28</v>
      </c>
      <c r="Y12" s="58">
        <v>7100.19</v>
      </c>
      <c r="Z12" s="58">
        <v>7340.14</v>
      </c>
      <c r="AA12" s="58">
        <v>71109.67</v>
      </c>
      <c r="AB12" s="58">
        <v>7575.5</v>
      </c>
      <c r="AC12" s="58">
        <v>7805.89</v>
      </c>
      <c r="AD12" s="58">
        <v>8031.7</v>
      </c>
      <c r="AE12" s="58">
        <v>8253.31</v>
      </c>
      <c r="AF12" s="58">
        <v>8470.33</v>
      </c>
      <c r="AG12" s="58">
        <v>8683.15</v>
      </c>
      <c r="AH12" s="58">
        <v>8891.3799999999992</v>
      </c>
      <c r="AI12" s="58">
        <v>9095.7999999999993</v>
      </c>
      <c r="AJ12" s="58">
        <v>9296.01</v>
      </c>
      <c r="AK12" s="58">
        <v>9492.01</v>
      </c>
      <c r="AL12" s="58">
        <v>9684.2000000000007</v>
      </c>
      <c r="AM12" s="58">
        <v>9872.56</v>
      </c>
      <c r="AN12" s="58">
        <v>105151.84</v>
      </c>
      <c r="AO12" s="58">
        <v>10057.11</v>
      </c>
      <c r="AP12" s="58">
        <v>10238.219999999999</v>
      </c>
      <c r="AQ12" s="58">
        <v>10415.5</v>
      </c>
      <c r="AR12" s="58">
        <v>10589.35</v>
      </c>
      <c r="AS12" s="58">
        <v>10759.76</v>
      </c>
      <c r="AT12" s="58">
        <v>10926.72</v>
      </c>
      <c r="AU12" s="58">
        <v>11090.25</v>
      </c>
      <c r="AV12" s="58">
        <v>11250.35</v>
      </c>
      <c r="AW12" s="58">
        <v>11407.38</v>
      </c>
      <c r="AX12" s="58">
        <v>11561.36</v>
      </c>
      <c r="AY12" s="58">
        <v>11712.28</v>
      </c>
      <c r="AZ12" s="58">
        <v>11860.15</v>
      </c>
      <c r="BA12" s="58">
        <v>131868.43</v>
      </c>
      <c r="BB12" s="58">
        <v>12004.95</v>
      </c>
      <c r="BC12" s="58">
        <v>12147.09</v>
      </c>
      <c r="BD12" s="58">
        <v>12286.16</v>
      </c>
      <c r="BE12" s="58">
        <v>12422.57</v>
      </c>
      <c r="BF12" s="58">
        <v>12556.29</v>
      </c>
      <c r="BG12" s="58">
        <v>12687.35</v>
      </c>
      <c r="BH12" s="58">
        <v>12815.73</v>
      </c>
      <c r="BI12" s="58">
        <v>12941.43</v>
      </c>
      <c r="BJ12" s="58">
        <v>13064.84</v>
      </c>
      <c r="BK12" s="58">
        <v>13185.58</v>
      </c>
      <c r="BL12" s="58">
        <v>13304.03</v>
      </c>
      <c r="BM12" s="58">
        <v>13420.18</v>
      </c>
      <c r="BN12" s="58">
        <v>152836.20000000001</v>
      </c>
      <c r="BO12" s="58">
        <v>13534.04</v>
      </c>
      <c r="BP12" s="58">
        <v>13645.6</v>
      </c>
      <c r="BQ12" s="58">
        <v>13754.88</v>
      </c>
      <c r="BR12" s="58">
        <v>13861.86</v>
      </c>
      <c r="BS12" s="58">
        <v>13966.55</v>
      </c>
      <c r="BT12" s="58">
        <v>14069.33</v>
      </c>
      <c r="BU12" s="58">
        <v>14170.2</v>
      </c>
      <c r="BV12" s="58">
        <v>14268.78</v>
      </c>
      <c r="BW12" s="58">
        <v>14365.44</v>
      </c>
      <c r="BX12" s="58">
        <v>14460.2</v>
      </c>
      <c r="BY12" s="58">
        <v>14553.04</v>
      </c>
      <c r="BZ12" s="58">
        <v>14643.98</v>
      </c>
      <c r="CA12" s="58">
        <v>169293.9</v>
      </c>
      <c r="CB12" s="58">
        <v>14733</v>
      </c>
      <c r="CC12" s="58">
        <v>14820.5</v>
      </c>
      <c r="CD12" s="58">
        <v>14906.09</v>
      </c>
      <c r="CE12" s="58">
        <v>14990.14</v>
      </c>
      <c r="CF12" s="58">
        <v>15072.29</v>
      </c>
      <c r="CG12" s="58">
        <v>15152.91</v>
      </c>
      <c r="CH12" s="58">
        <v>15232</v>
      </c>
      <c r="CI12" s="58">
        <v>15309.56</v>
      </c>
      <c r="CJ12" s="58">
        <v>15385.6</v>
      </c>
      <c r="CK12" s="58">
        <v>15460.1</v>
      </c>
      <c r="CL12" s="58">
        <v>15533.08</v>
      </c>
      <c r="CM12" s="58">
        <v>15604.53</v>
      </c>
      <c r="CN12" s="58">
        <v>182199.8</v>
      </c>
      <c r="CO12" s="58">
        <v>840179.74</v>
      </c>
    </row>
    <row r="13" spans="1:93" ht="14.4" x14ac:dyDescent="0.3">
      <c r="A13" s="56" t="s">
        <v>313</v>
      </c>
      <c r="B13" s="58">
        <v>0</v>
      </c>
      <c r="C13" s="58">
        <v>382.08</v>
      </c>
      <c r="D13" s="58">
        <v>756.52</v>
      </c>
      <c r="E13" s="58">
        <v>1123.32</v>
      </c>
      <c r="F13" s="58">
        <v>1482.85</v>
      </c>
      <c r="G13" s="58">
        <v>1835.13</v>
      </c>
      <c r="H13" s="58">
        <v>2180.5300000000002</v>
      </c>
      <c r="I13" s="58">
        <v>2519.0500000000002</v>
      </c>
      <c r="J13" s="58">
        <v>2850.7</v>
      </c>
      <c r="K13" s="58">
        <v>3175.85</v>
      </c>
      <c r="L13" s="58">
        <v>3494.5</v>
      </c>
      <c r="M13" s="58">
        <v>3806.66</v>
      </c>
      <c r="N13" s="58">
        <v>23607.19</v>
      </c>
      <c r="O13" s="58">
        <v>4112.71</v>
      </c>
      <c r="P13" s="58">
        <v>4412.6400000000003</v>
      </c>
      <c r="Q13" s="58">
        <v>4706.46</v>
      </c>
      <c r="R13" s="58">
        <v>4994.55</v>
      </c>
      <c r="S13" s="58">
        <v>5276.91</v>
      </c>
      <c r="T13" s="58">
        <v>5553.53</v>
      </c>
      <c r="U13" s="58">
        <v>5824.43</v>
      </c>
      <c r="V13" s="58">
        <v>6089.97</v>
      </c>
      <c r="W13" s="58">
        <v>6350.17</v>
      </c>
      <c r="X13" s="58">
        <v>6605.4</v>
      </c>
      <c r="Y13" s="58">
        <v>6855.28</v>
      </c>
      <c r="Z13" s="58">
        <v>7100.19</v>
      </c>
      <c r="AA13" s="58">
        <v>67882.240000000005</v>
      </c>
      <c r="AB13" s="58">
        <v>7340.14</v>
      </c>
      <c r="AC13" s="58">
        <v>7575.5</v>
      </c>
      <c r="AD13" s="58">
        <v>7805.89</v>
      </c>
      <c r="AE13" s="58">
        <v>8031.7</v>
      </c>
      <c r="AF13" s="58">
        <v>8253.31</v>
      </c>
      <c r="AG13" s="58">
        <v>8470.33</v>
      </c>
      <c r="AH13" s="58">
        <v>8683.15</v>
      </c>
      <c r="AI13" s="58">
        <v>8891.3799999999992</v>
      </c>
      <c r="AJ13" s="58">
        <v>9095.7999999999993</v>
      </c>
      <c r="AK13" s="58">
        <v>9296.01</v>
      </c>
      <c r="AL13" s="58">
        <v>9492.01</v>
      </c>
      <c r="AM13" s="58">
        <v>9684.2000000000007</v>
      </c>
      <c r="AN13" s="58">
        <v>102619.42</v>
      </c>
      <c r="AO13" s="58">
        <v>9872.56</v>
      </c>
      <c r="AP13" s="58">
        <v>10057.11</v>
      </c>
      <c r="AQ13" s="58">
        <v>10238.219999999999</v>
      </c>
      <c r="AR13" s="58">
        <v>10415.5</v>
      </c>
      <c r="AS13" s="58">
        <v>10589.35</v>
      </c>
      <c r="AT13" s="58">
        <v>10759.76</v>
      </c>
      <c r="AU13" s="58">
        <v>10926.72</v>
      </c>
      <c r="AV13" s="58">
        <v>11090.25</v>
      </c>
      <c r="AW13" s="58">
        <v>11250.35</v>
      </c>
      <c r="AX13" s="58">
        <v>11407.38</v>
      </c>
      <c r="AY13" s="58">
        <v>11561.36</v>
      </c>
      <c r="AZ13" s="58">
        <v>11712.28</v>
      </c>
      <c r="BA13" s="58">
        <v>129880.84</v>
      </c>
      <c r="BB13" s="58">
        <v>11860.15</v>
      </c>
      <c r="BC13" s="58">
        <v>12004.95</v>
      </c>
      <c r="BD13" s="58">
        <v>12147.09</v>
      </c>
      <c r="BE13" s="58">
        <v>12286.16</v>
      </c>
      <c r="BF13" s="58">
        <v>12422.57</v>
      </c>
      <c r="BG13" s="58">
        <v>12556.29</v>
      </c>
      <c r="BH13" s="58">
        <v>12687.35</v>
      </c>
      <c r="BI13" s="58">
        <v>12815.73</v>
      </c>
      <c r="BJ13" s="58">
        <v>12941.43</v>
      </c>
      <c r="BK13" s="58">
        <v>13064.84</v>
      </c>
      <c r="BL13" s="58">
        <v>13185.58</v>
      </c>
      <c r="BM13" s="58">
        <v>13304.03</v>
      </c>
      <c r="BN13" s="58">
        <v>151276.17000000001</v>
      </c>
      <c r="BO13" s="58">
        <v>13420.18</v>
      </c>
      <c r="BP13" s="58">
        <v>13534.04</v>
      </c>
      <c r="BQ13" s="58">
        <v>13645.6</v>
      </c>
      <c r="BR13" s="58">
        <v>13754.88</v>
      </c>
      <c r="BS13" s="58">
        <v>13861.86</v>
      </c>
      <c r="BT13" s="58">
        <v>13966.55</v>
      </c>
      <c r="BU13" s="58">
        <v>14069.33</v>
      </c>
      <c r="BV13" s="58">
        <v>14170.2</v>
      </c>
      <c r="BW13" s="58">
        <v>14268.78</v>
      </c>
      <c r="BX13" s="58">
        <v>14365.44</v>
      </c>
      <c r="BY13" s="58">
        <v>14460.2</v>
      </c>
      <c r="BZ13" s="58">
        <v>14553.04</v>
      </c>
      <c r="CA13" s="58">
        <v>168070.1</v>
      </c>
      <c r="CB13" s="58">
        <v>14643.98</v>
      </c>
      <c r="CC13" s="58">
        <v>14733</v>
      </c>
      <c r="CD13" s="58">
        <v>14820.5</v>
      </c>
      <c r="CE13" s="58">
        <v>14906.09</v>
      </c>
      <c r="CF13" s="58">
        <v>14990.14</v>
      </c>
      <c r="CG13" s="58">
        <v>15072.29</v>
      </c>
      <c r="CH13" s="58">
        <v>15152.91</v>
      </c>
      <c r="CI13" s="58">
        <v>15232</v>
      </c>
      <c r="CJ13" s="58">
        <v>15309.56</v>
      </c>
      <c r="CK13" s="58">
        <v>15385.6</v>
      </c>
      <c r="CL13" s="58">
        <v>15460.1</v>
      </c>
      <c r="CM13" s="58">
        <v>15533.08</v>
      </c>
      <c r="CN13" s="58">
        <v>181239.25</v>
      </c>
      <c r="CO13" s="58">
        <v>824575.21</v>
      </c>
    </row>
    <row r="14" spans="1:93" ht="14.4" x14ac:dyDescent="0.3">
      <c r="A14" s="56" t="s">
        <v>314</v>
      </c>
      <c r="B14" s="58">
        <v>382.08</v>
      </c>
      <c r="C14" s="58">
        <v>756.52</v>
      </c>
      <c r="D14" s="58">
        <v>1123.32</v>
      </c>
      <c r="E14" s="58">
        <v>1482.85</v>
      </c>
      <c r="F14" s="58">
        <v>1835.13</v>
      </c>
      <c r="G14" s="58">
        <v>2180.5300000000002</v>
      </c>
      <c r="H14" s="58">
        <v>2519.0500000000002</v>
      </c>
      <c r="I14" s="58">
        <v>2850.7</v>
      </c>
      <c r="J14" s="58">
        <v>3175.85</v>
      </c>
      <c r="K14" s="58">
        <v>3494.5</v>
      </c>
      <c r="L14" s="58">
        <v>3806.66</v>
      </c>
      <c r="M14" s="58">
        <v>4112.71</v>
      </c>
      <c r="N14" s="58">
        <v>4112.71</v>
      </c>
      <c r="O14" s="58">
        <v>4412.6400000000003</v>
      </c>
      <c r="P14" s="58">
        <v>4706.46</v>
      </c>
      <c r="Q14" s="58">
        <v>4994.55</v>
      </c>
      <c r="R14" s="58">
        <v>5276.91</v>
      </c>
      <c r="S14" s="58">
        <v>5553.53</v>
      </c>
      <c r="T14" s="58">
        <v>5824.43</v>
      </c>
      <c r="U14" s="58">
        <v>6089.97</v>
      </c>
      <c r="V14" s="58">
        <v>6350.17</v>
      </c>
      <c r="W14" s="58">
        <v>6605.4</v>
      </c>
      <c r="X14" s="58">
        <v>6855.28</v>
      </c>
      <c r="Y14" s="58">
        <v>7100.19</v>
      </c>
      <c r="Z14" s="58">
        <v>7340.14</v>
      </c>
      <c r="AA14" s="58">
        <v>7340.14</v>
      </c>
      <c r="AB14" s="58">
        <v>7575.5</v>
      </c>
      <c r="AC14" s="58">
        <v>7805.89</v>
      </c>
      <c r="AD14" s="58">
        <v>8031.7</v>
      </c>
      <c r="AE14" s="58">
        <v>8253.31</v>
      </c>
      <c r="AF14" s="58">
        <v>8470.33</v>
      </c>
      <c r="AG14" s="58">
        <v>8683.15</v>
      </c>
      <c r="AH14" s="58">
        <v>8891.3799999999992</v>
      </c>
      <c r="AI14" s="58">
        <v>9095.7999999999993</v>
      </c>
      <c r="AJ14" s="58">
        <v>9296.01</v>
      </c>
      <c r="AK14" s="58">
        <v>9492.01</v>
      </c>
      <c r="AL14" s="58">
        <v>9684.2000000000007</v>
      </c>
      <c r="AM14" s="58">
        <v>9872.56</v>
      </c>
      <c r="AN14" s="58">
        <v>9872.56</v>
      </c>
      <c r="AO14" s="58">
        <v>10057.11</v>
      </c>
      <c r="AP14" s="58">
        <v>10238.219999999999</v>
      </c>
      <c r="AQ14" s="58">
        <v>10415.5</v>
      </c>
      <c r="AR14" s="58">
        <v>10589.35</v>
      </c>
      <c r="AS14" s="58">
        <v>10759.76</v>
      </c>
      <c r="AT14" s="58">
        <v>10926.72</v>
      </c>
      <c r="AU14" s="58">
        <v>11090.25</v>
      </c>
      <c r="AV14" s="58">
        <v>11250.35</v>
      </c>
      <c r="AW14" s="58">
        <v>11407.38</v>
      </c>
      <c r="AX14" s="58">
        <v>11561.36</v>
      </c>
      <c r="AY14" s="58">
        <v>11712.28</v>
      </c>
      <c r="AZ14" s="58">
        <v>11860.15</v>
      </c>
      <c r="BA14" s="58">
        <v>11860.15</v>
      </c>
      <c r="BB14" s="58">
        <v>12004.95</v>
      </c>
      <c r="BC14" s="58">
        <v>12147.09</v>
      </c>
      <c r="BD14" s="58">
        <v>12286.16</v>
      </c>
      <c r="BE14" s="58">
        <v>12422.57</v>
      </c>
      <c r="BF14" s="58">
        <v>12556.29</v>
      </c>
      <c r="BG14" s="58">
        <v>12687.35</v>
      </c>
      <c r="BH14" s="58">
        <v>12815.73</v>
      </c>
      <c r="BI14" s="58">
        <v>12941.43</v>
      </c>
      <c r="BJ14" s="58">
        <v>13064.84</v>
      </c>
      <c r="BK14" s="58">
        <v>13185.58</v>
      </c>
      <c r="BL14" s="58">
        <v>13304.03</v>
      </c>
      <c r="BM14" s="58">
        <v>13420.18</v>
      </c>
      <c r="BN14" s="58">
        <v>13420.18</v>
      </c>
      <c r="BO14" s="58">
        <v>13534.04</v>
      </c>
      <c r="BP14" s="58">
        <v>13645.6</v>
      </c>
      <c r="BQ14" s="58">
        <v>13754.88</v>
      </c>
      <c r="BR14" s="58">
        <v>13861.86</v>
      </c>
      <c r="BS14" s="58">
        <v>13966.55</v>
      </c>
      <c r="BT14" s="58">
        <v>14069.33</v>
      </c>
      <c r="BU14" s="58">
        <v>14170.2</v>
      </c>
      <c r="BV14" s="58">
        <v>14268.78</v>
      </c>
      <c r="BW14" s="58">
        <v>14365.44</v>
      </c>
      <c r="BX14" s="58">
        <v>14460.2</v>
      </c>
      <c r="BY14" s="58">
        <v>14553.04</v>
      </c>
      <c r="BZ14" s="58">
        <v>14643.98</v>
      </c>
      <c r="CA14" s="58">
        <v>14643.98</v>
      </c>
      <c r="CB14" s="58">
        <v>14733</v>
      </c>
      <c r="CC14" s="58">
        <v>14820.5</v>
      </c>
      <c r="CD14" s="58">
        <v>14906.09</v>
      </c>
      <c r="CE14" s="58">
        <v>14990.14</v>
      </c>
      <c r="CF14" s="58">
        <v>15072.29</v>
      </c>
      <c r="CG14" s="58">
        <v>15152.91</v>
      </c>
      <c r="CH14" s="58">
        <v>15232</v>
      </c>
      <c r="CI14" s="58">
        <v>15309.56</v>
      </c>
      <c r="CJ14" s="58">
        <v>15385.6</v>
      </c>
      <c r="CK14" s="58">
        <v>15460.1</v>
      </c>
      <c r="CL14" s="58">
        <v>15533.08</v>
      </c>
      <c r="CM14" s="58">
        <v>15604.53</v>
      </c>
      <c r="CN14" s="58">
        <v>15604.53</v>
      </c>
      <c r="CO14" s="58">
        <v>15604.53</v>
      </c>
    </row>
    <row r="15" spans="1:93" ht="14.4" x14ac:dyDescent="0.3">
      <c r="A15" s="56" t="s">
        <v>169</v>
      </c>
    </row>
    <row r="16" spans="1:93" ht="14.4" x14ac:dyDescent="0.3">
      <c r="A16" s="56" t="s">
        <v>316</v>
      </c>
    </row>
    <row r="17" spans="1:93" ht="14.4" x14ac:dyDescent="0.3">
      <c r="A17" s="56" t="s">
        <v>311</v>
      </c>
      <c r="B17" s="58">
        <v>0</v>
      </c>
      <c r="C17" s="58">
        <v>1337.28</v>
      </c>
      <c r="D17" s="58">
        <v>2647.82</v>
      </c>
      <c r="E17" s="58">
        <v>3931.61</v>
      </c>
      <c r="F17" s="58">
        <v>5189.9799999999996</v>
      </c>
      <c r="G17" s="58">
        <v>6422.96</v>
      </c>
      <c r="H17" s="58">
        <v>7631.86</v>
      </c>
      <c r="I17" s="58">
        <v>8816.68</v>
      </c>
      <c r="J17" s="58">
        <v>9977.4500000000007</v>
      </c>
      <c r="K17" s="58">
        <v>11115.47</v>
      </c>
      <c r="L17" s="58">
        <v>12230.76</v>
      </c>
      <c r="M17" s="58">
        <v>13323.32</v>
      </c>
      <c r="N17" s="58">
        <v>0</v>
      </c>
      <c r="O17" s="58">
        <v>14394.48</v>
      </c>
      <c r="P17" s="58">
        <v>15444.24</v>
      </c>
      <c r="Q17" s="58">
        <v>16472.61</v>
      </c>
      <c r="R17" s="58">
        <v>17480.919999999998</v>
      </c>
      <c r="S17" s="58">
        <v>18469.18</v>
      </c>
      <c r="T17" s="58">
        <v>19437.36</v>
      </c>
      <c r="U17" s="58">
        <v>20385.5</v>
      </c>
      <c r="V17" s="58">
        <v>21314.9</v>
      </c>
      <c r="W17" s="58">
        <v>22225.59</v>
      </c>
      <c r="X17" s="58">
        <v>23118.9</v>
      </c>
      <c r="Y17" s="58">
        <v>23993.48</v>
      </c>
      <c r="Z17" s="58">
        <v>24850.67</v>
      </c>
      <c r="AA17" s="58">
        <v>14394.48</v>
      </c>
      <c r="AB17" s="58">
        <v>25690.49</v>
      </c>
      <c r="AC17" s="58">
        <v>26514.25</v>
      </c>
      <c r="AD17" s="58">
        <v>27320.63</v>
      </c>
      <c r="AE17" s="58">
        <v>28110.959999999999</v>
      </c>
      <c r="AF17" s="58">
        <v>28886.59</v>
      </c>
      <c r="AG17" s="58">
        <v>29646.16</v>
      </c>
      <c r="AH17" s="58">
        <v>30391.03</v>
      </c>
      <c r="AI17" s="58">
        <v>31119.84</v>
      </c>
      <c r="AJ17" s="58">
        <v>31835.29</v>
      </c>
      <c r="AK17" s="58">
        <v>32536.03</v>
      </c>
      <c r="AL17" s="58">
        <v>33222.04</v>
      </c>
      <c r="AM17" s="58">
        <v>33894.699999999997</v>
      </c>
      <c r="AN17" s="58">
        <v>25690.49</v>
      </c>
      <c r="AO17" s="58">
        <v>34553.97</v>
      </c>
      <c r="AP17" s="58">
        <v>35199.879999999997</v>
      </c>
      <c r="AQ17" s="58">
        <v>35833.760000000002</v>
      </c>
      <c r="AR17" s="58">
        <v>36454.25</v>
      </c>
      <c r="AS17" s="58">
        <v>37062.720000000001</v>
      </c>
      <c r="AT17" s="58">
        <v>37659.15</v>
      </c>
      <c r="AU17" s="58">
        <v>38243.53</v>
      </c>
      <c r="AV17" s="58">
        <v>38815.89</v>
      </c>
      <c r="AW17" s="58">
        <v>39376.21</v>
      </c>
      <c r="AX17" s="58">
        <v>39925.83</v>
      </c>
      <c r="AY17" s="58">
        <v>40464.76</v>
      </c>
      <c r="AZ17" s="58">
        <v>40992.980000000003</v>
      </c>
      <c r="BA17" s="58">
        <v>34553.97</v>
      </c>
      <c r="BB17" s="58">
        <v>41510.51</v>
      </c>
      <c r="BC17" s="58">
        <v>42017.33</v>
      </c>
      <c r="BD17" s="58">
        <v>42514.81</v>
      </c>
      <c r="BE17" s="58">
        <v>43001.57</v>
      </c>
      <c r="BF17" s="58">
        <v>43478.99</v>
      </c>
      <c r="BG17" s="58">
        <v>43947.03</v>
      </c>
      <c r="BH17" s="58">
        <v>44405.72</v>
      </c>
      <c r="BI17" s="58">
        <v>44855.05</v>
      </c>
      <c r="BJ17" s="58">
        <v>45295.01</v>
      </c>
      <c r="BK17" s="58">
        <v>45726.95</v>
      </c>
      <c r="BL17" s="58">
        <v>46149.53</v>
      </c>
      <c r="BM17" s="58">
        <v>46564.09</v>
      </c>
      <c r="BN17" s="58">
        <v>41510.51</v>
      </c>
      <c r="BO17" s="58">
        <v>46970.62</v>
      </c>
      <c r="BP17" s="58">
        <v>47369.13</v>
      </c>
      <c r="BQ17" s="58">
        <v>47759.61</v>
      </c>
      <c r="BR17" s="58">
        <v>48142.080000000002</v>
      </c>
      <c r="BS17" s="58">
        <v>48516.52</v>
      </c>
      <c r="BT17" s="58">
        <v>48882.93</v>
      </c>
      <c r="BU17" s="58">
        <v>49242.66</v>
      </c>
      <c r="BV17" s="58">
        <v>49595.7</v>
      </c>
      <c r="BW17" s="58">
        <v>49940.72</v>
      </c>
      <c r="BX17" s="58">
        <v>50279.05</v>
      </c>
      <c r="BY17" s="58">
        <v>50610.7</v>
      </c>
      <c r="BZ17" s="58">
        <v>50935.65</v>
      </c>
      <c r="CA17" s="58">
        <v>46970.62</v>
      </c>
      <c r="CB17" s="58">
        <v>51253.93</v>
      </c>
      <c r="CC17" s="58">
        <v>51565.51</v>
      </c>
      <c r="CD17" s="58">
        <v>51871.75</v>
      </c>
      <c r="CE17" s="58">
        <v>52171.31</v>
      </c>
      <c r="CF17" s="58">
        <v>52465.5</v>
      </c>
      <c r="CG17" s="58">
        <v>52753.02</v>
      </c>
      <c r="CH17" s="58">
        <v>53035.19</v>
      </c>
      <c r="CI17" s="58">
        <v>53312</v>
      </c>
      <c r="CJ17" s="58">
        <v>53583.47</v>
      </c>
      <c r="CK17" s="58">
        <v>53849.59</v>
      </c>
      <c r="CL17" s="58">
        <v>54110.36</v>
      </c>
      <c r="CM17" s="58">
        <v>54365.78</v>
      </c>
      <c r="CN17" s="58">
        <v>51253.93</v>
      </c>
      <c r="CO17" s="58">
        <v>0</v>
      </c>
    </row>
    <row r="18" spans="1:93" ht="14.4" x14ac:dyDescent="0.3">
      <c r="A18" s="56" t="s">
        <v>317</v>
      </c>
      <c r="B18" s="58">
        <v>1337.28</v>
      </c>
      <c r="C18" s="58">
        <v>2647.82</v>
      </c>
      <c r="D18" s="58">
        <v>3931.61</v>
      </c>
      <c r="E18" s="58">
        <v>5189.9799999999996</v>
      </c>
      <c r="F18" s="58">
        <v>6422.96</v>
      </c>
      <c r="G18" s="58">
        <v>7631.86</v>
      </c>
      <c r="H18" s="58">
        <v>8816.68</v>
      </c>
      <c r="I18" s="58">
        <v>9977.4500000000007</v>
      </c>
      <c r="J18" s="58">
        <v>11115.47</v>
      </c>
      <c r="K18" s="58">
        <v>12230.76</v>
      </c>
      <c r="L18" s="58">
        <v>13323.32</v>
      </c>
      <c r="M18" s="58">
        <v>14394.48</v>
      </c>
      <c r="N18" s="58">
        <v>97019.67</v>
      </c>
      <c r="O18" s="58">
        <v>15444.24</v>
      </c>
      <c r="P18" s="58">
        <v>16472.61</v>
      </c>
      <c r="Q18" s="58">
        <v>17480.919999999998</v>
      </c>
      <c r="R18" s="58">
        <v>18469.18</v>
      </c>
      <c r="S18" s="58">
        <v>19437.36</v>
      </c>
      <c r="T18" s="58">
        <v>20385.5</v>
      </c>
      <c r="U18" s="58">
        <v>21314.9</v>
      </c>
      <c r="V18" s="58">
        <v>22225.59</v>
      </c>
      <c r="W18" s="58">
        <v>23118.9</v>
      </c>
      <c r="X18" s="58">
        <v>23993.48</v>
      </c>
      <c r="Y18" s="58">
        <v>24850.67</v>
      </c>
      <c r="Z18" s="58">
        <v>25690.49</v>
      </c>
      <c r="AA18" s="58">
        <v>248883.84</v>
      </c>
      <c r="AB18" s="58">
        <v>26514.25</v>
      </c>
      <c r="AC18" s="58">
        <v>27320.63</v>
      </c>
      <c r="AD18" s="58">
        <v>28110.959999999999</v>
      </c>
      <c r="AE18" s="58">
        <v>28886.59</v>
      </c>
      <c r="AF18" s="58">
        <v>29646.16</v>
      </c>
      <c r="AG18" s="58">
        <v>30391.03</v>
      </c>
      <c r="AH18" s="58">
        <v>31119.84</v>
      </c>
      <c r="AI18" s="58">
        <v>31835.29</v>
      </c>
      <c r="AJ18" s="58">
        <v>32536.03</v>
      </c>
      <c r="AK18" s="58">
        <v>33222.04</v>
      </c>
      <c r="AL18" s="58">
        <v>33894.699999999997</v>
      </c>
      <c r="AM18" s="58">
        <v>34553.97</v>
      </c>
      <c r="AN18" s="58">
        <v>368031.49</v>
      </c>
      <c r="AO18" s="58">
        <v>35199.879999999997</v>
      </c>
      <c r="AP18" s="58">
        <v>35833.760000000002</v>
      </c>
      <c r="AQ18" s="58">
        <v>36454.25</v>
      </c>
      <c r="AR18" s="58">
        <v>37062.720000000001</v>
      </c>
      <c r="AS18" s="58">
        <v>37659.15</v>
      </c>
      <c r="AT18" s="58">
        <v>38243.53</v>
      </c>
      <c r="AU18" s="58">
        <v>38815.89</v>
      </c>
      <c r="AV18" s="58">
        <v>39376.21</v>
      </c>
      <c r="AW18" s="58">
        <v>39925.83</v>
      </c>
      <c r="AX18" s="58">
        <v>40464.76</v>
      </c>
      <c r="AY18" s="58">
        <v>40992.980000000003</v>
      </c>
      <c r="AZ18" s="58">
        <v>41510.51</v>
      </c>
      <c r="BA18" s="58">
        <v>461539.47</v>
      </c>
      <c r="BB18" s="58">
        <v>42017.33</v>
      </c>
      <c r="BC18" s="58">
        <v>42514.81</v>
      </c>
      <c r="BD18" s="58">
        <v>43001.57</v>
      </c>
      <c r="BE18" s="58">
        <v>43478.99</v>
      </c>
      <c r="BF18" s="58">
        <v>43947.03</v>
      </c>
      <c r="BG18" s="58">
        <v>44405.72</v>
      </c>
      <c r="BH18" s="58">
        <v>44855.05</v>
      </c>
      <c r="BI18" s="58">
        <v>45295.01</v>
      </c>
      <c r="BJ18" s="58">
        <v>45726.95</v>
      </c>
      <c r="BK18" s="58">
        <v>46149.53</v>
      </c>
      <c r="BL18" s="58">
        <v>46564.09</v>
      </c>
      <c r="BM18" s="58">
        <v>46970.62</v>
      </c>
      <c r="BN18" s="58">
        <v>534926.69999999995</v>
      </c>
      <c r="BO18" s="58">
        <v>47369.13</v>
      </c>
      <c r="BP18" s="58">
        <v>47759.61</v>
      </c>
      <c r="BQ18" s="58">
        <v>48142.080000000002</v>
      </c>
      <c r="BR18" s="58">
        <v>48516.52</v>
      </c>
      <c r="BS18" s="58">
        <v>48882.93</v>
      </c>
      <c r="BT18" s="58">
        <v>49242.66</v>
      </c>
      <c r="BU18" s="58">
        <v>49595.7</v>
      </c>
      <c r="BV18" s="58">
        <v>49940.72</v>
      </c>
      <c r="BW18" s="58">
        <v>50279.05</v>
      </c>
      <c r="BX18" s="58">
        <v>50610.7</v>
      </c>
      <c r="BY18" s="58">
        <v>50935.65</v>
      </c>
      <c r="BZ18" s="58">
        <v>51253.93</v>
      </c>
      <c r="CA18" s="58">
        <v>592528.68000000005</v>
      </c>
      <c r="CB18" s="58">
        <v>51565.51</v>
      </c>
      <c r="CC18" s="58">
        <v>51871.75</v>
      </c>
      <c r="CD18" s="58">
        <v>52171.31</v>
      </c>
      <c r="CE18" s="58">
        <v>52465.5</v>
      </c>
      <c r="CF18" s="58">
        <v>52753.02</v>
      </c>
      <c r="CG18" s="58">
        <v>53035.19</v>
      </c>
      <c r="CH18" s="58">
        <v>53312</v>
      </c>
      <c r="CI18" s="58">
        <v>53583.47</v>
      </c>
      <c r="CJ18" s="58">
        <v>53849.59</v>
      </c>
      <c r="CK18" s="58">
        <v>54110.36</v>
      </c>
      <c r="CL18" s="58">
        <v>54365.78</v>
      </c>
      <c r="CM18" s="58">
        <v>54615.85</v>
      </c>
      <c r="CN18" s="58">
        <v>637699.32999999996</v>
      </c>
      <c r="CO18" s="58">
        <v>2940629.18</v>
      </c>
    </row>
    <row r="19" spans="1:93" ht="14.4" x14ac:dyDescent="0.3">
      <c r="A19" s="56" t="s">
        <v>318</v>
      </c>
      <c r="B19" s="58">
        <v>0</v>
      </c>
      <c r="C19" s="58">
        <v>1337.28</v>
      </c>
      <c r="D19" s="58">
        <v>2647.82</v>
      </c>
      <c r="E19" s="58">
        <v>3931.61</v>
      </c>
      <c r="F19" s="58">
        <v>5189.9799999999996</v>
      </c>
      <c r="G19" s="58">
        <v>6422.96</v>
      </c>
      <c r="H19" s="58">
        <v>7631.86</v>
      </c>
      <c r="I19" s="58">
        <v>8816.68</v>
      </c>
      <c r="J19" s="58">
        <v>9977.4500000000007</v>
      </c>
      <c r="K19" s="58">
        <v>11115.47</v>
      </c>
      <c r="L19" s="58">
        <v>12230.76</v>
      </c>
      <c r="M19" s="58">
        <v>13323.32</v>
      </c>
      <c r="N19" s="58">
        <v>82625.19</v>
      </c>
      <c r="O19" s="58">
        <v>14394.48</v>
      </c>
      <c r="P19" s="58">
        <v>15444.24</v>
      </c>
      <c r="Q19" s="58">
        <v>16472.61</v>
      </c>
      <c r="R19" s="58">
        <v>17480.919999999998</v>
      </c>
      <c r="S19" s="58">
        <v>18469.18</v>
      </c>
      <c r="T19" s="58">
        <v>19437.36</v>
      </c>
      <c r="U19" s="58">
        <v>20385.5</v>
      </c>
      <c r="V19" s="58">
        <v>21314.9</v>
      </c>
      <c r="W19" s="58">
        <v>22225.59</v>
      </c>
      <c r="X19" s="58">
        <v>23118.9</v>
      </c>
      <c r="Y19" s="58">
        <v>23993.48</v>
      </c>
      <c r="Z19" s="58">
        <v>24850.67</v>
      </c>
      <c r="AA19" s="58">
        <v>237587.83</v>
      </c>
      <c r="AB19" s="58">
        <v>25690.49</v>
      </c>
      <c r="AC19" s="58">
        <v>26514.25</v>
      </c>
      <c r="AD19" s="58">
        <v>27320.63</v>
      </c>
      <c r="AE19" s="58">
        <v>28110.959999999999</v>
      </c>
      <c r="AF19" s="58">
        <v>28886.59</v>
      </c>
      <c r="AG19" s="58">
        <v>29646.16</v>
      </c>
      <c r="AH19" s="58">
        <v>30391.03</v>
      </c>
      <c r="AI19" s="58">
        <v>31119.84</v>
      </c>
      <c r="AJ19" s="58">
        <v>31835.29</v>
      </c>
      <c r="AK19" s="58">
        <v>32536.03</v>
      </c>
      <c r="AL19" s="58">
        <v>33222.04</v>
      </c>
      <c r="AM19" s="58">
        <v>33894.699999999997</v>
      </c>
      <c r="AN19" s="58">
        <v>359168.01</v>
      </c>
      <c r="AO19" s="58">
        <v>34553.97</v>
      </c>
      <c r="AP19" s="58">
        <v>35199.879999999997</v>
      </c>
      <c r="AQ19" s="58">
        <v>35833.760000000002</v>
      </c>
      <c r="AR19" s="58">
        <v>36454.25</v>
      </c>
      <c r="AS19" s="58">
        <v>37062.720000000001</v>
      </c>
      <c r="AT19" s="58">
        <v>37659.15</v>
      </c>
      <c r="AU19" s="58">
        <v>38243.53</v>
      </c>
      <c r="AV19" s="58">
        <v>38815.89</v>
      </c>
      <c r="AW19" s="58">
        <v>39376.21</v>
      </c>
      <c r="AX19" s="58">
        <v>39925.83</v>
      </c>
      <c r="AY19" s="58">
        <v>40464.76</v>
      </c>
      <c r="AZ19" s="58">
        <v>40992.980000000003</v>
      </c>
      <c r="BA19" s="58">
        <v>454582.93</v>
      </c>
      <c r="BB19" s="58">
        <v>41510.51</v>
      </c>
      <c r="BC19" s="58">
        <v>42017.33</v>
      </c>
      <c r="BD19" s="58">
        <v>42514.81</v>
      </c>
      <c r="BE19" s="58">
        <v>43001.57</v>
      </c>
      <c r="BF19" s="58">
        <v>43478.99</v>
      </c>
      <c r="BG19" s="58">
        <v>43947.03</v>
      </c>
      <c r="BH19" s="58">
        <v>44405.72</v>
      </c>
      <c r="BI19" s="58">
        <v>44855.05</v>
      </c>
      <c r="BJ19" s="58">
        <v>45295.01</v>
      </c>
      <c r="BK19" s="58">
        <v>45726.95</v>
      </c>
      <c r="BL19" s="58">
        <v>46149.53</v>
      </c>
      <c r="BM19" s="58">
        <v>46564.09</v>
      </c>
      <c r="BN19" s="58">
        <v>529466.59</v>
      </c>
      <c r="BO19" s="58">
        <v>46970.62</v>
      </c>
      <c r="BP19" s="58">
        <v>47369.13</v>
      </c>
      <c r="BQ19" s="58">
        <v>47759.61</v>
      </c>
      <c r="BR19" s="58">
        <v>48142.080000000002</v>
      </c>
      <c r="BS19" s="58">
        <v>48516.52</v>
      </c>
      <c r="BT19" s="58">
        <v>48882.93</v>
      </c>
      <c r="BU19" s="58">
        <v>49242.66</v>
      </c>
      <c r="BV19" s="58">
        <v>49595.7</v>
      </c>
      <c r="BW19" s="58">
        <v>49940.72</v>
      </c>
      <c r="BX19" s="58">
        <v>50279.05</v>
      </c>
      <c r="BY19" s="58">
        <v>50610.7</v>
      </c>
      <c r="BZ19" s="58">
        <v>50935.65</v>
      </c>
      <c r="CA19" s="58">
        <v>588245.37</v>
      </c>
      <c r="CB19" s="58">
        <v>51253.93</v>
      </c>
      <c r="CC19" s="58">
        <v>51565.51</v>
      </c>
      <c r="CD19" s="58">
        <v>51871.75</v>
      </c>
      <c r="CE19" s="58">
        <v>52171.31</v>
      </c>
      <c r="CF19" s="58">
        <v>52465.5</v>
      </c>
      <c r="CG19" s="58">
        <v>52753.02</v>
      </c>
      <c r="CH19" s="58">
        <v>53035.19</v>
      </c>
      <c r="CI19" s="58">
        <v>53312</v>
      </c>
      <c r="CJ19" s="58">
        <v>53583.47</v>
      </c>
      <c r="CK19" s="58">
        <v>53849.59</v>
      </c>
      <c r="CL19" s="58">
        <v>54110.36</v>
      </c>
      <c r="CM19" s="58">
        <v>54365.78</v>
      </c>
      <c r="CN19" s="58">
        <v>634337.41</v>
      </c>
      <c r="CO19" s="58">
        <v>2886013.33</v>
      </c>
    </row>
    <row r="20" spans="1:93" ht="14.4" x14ac:dyDescent="0.3">
      <c r="A20" s="56" t="s">
        <v>314</v>
      </c>
      <c r="B20" s="58">
        <v>1337.28</v>
      </c>
      <c r="C20" s="58">
        <v>2647.82</v>
      </c>
      <c r="D20" s="58">
        <v>3931.61</v>
      </c>
      <c r="E20" s="58">
        <v>5189.9799999999996</v>
      </c>
      <c r="F20" s="58">
        <v>6422.96</v>
      </c>
      <c r="G20" s="58">
        <v>7631.86</v>
      </c>
      <c r="H20" s="58">
        <v>8816.68</v>
      </c>
      <c r="I20" s="58">
        <v>9977.4500000000007</v>
      </c>
      <c r="J20" s="58">
        <v>11115.47</v>
      </c>
      <c r="K20" s="58">
        <v>12230.76</v>
      </c>
      <c r="L20" s="58">
        <v>13323.32</v>
      </c>
      <c r="M20" s="58">
        <v>14394.48</v>
      </c>
      <c r="N20" s="58">
        <v>14394.48</v>
      </c>
      <c r="O20" s="58">
        <v>15444.24</v>
      </c>
      <c r="P20" s="58">
        <v>16472.61</v>
      </c>
      <c r="Q20" s="58">
        <v>17480.919999999998</v>
      </c>
      <c r="R20" s="58">
        <v>18469.18</v>
      </c>
      <c r="S20" s="58">
        <v>19437.36</v>
      </c>
      <c r="T20" s="58">
        <v>20385.5</v>
      </c>
      <c r="U20" s="58">
        <v>21314.9</v>
      </c>
      <c r="V20" s="58">
        <v>22225.59</v>
      </c>
      <c r="W20" s="58">
        <v>23118.9</v>
      </c>
      <c r="X20" s="58">
        <v>23993.48</v>
      </c>
      <c r="Y20" s="58">
        <v>24850.67</v>
      </c>
      <c r="Z20" s="58">
        <v>25690.49</v>
      </c>
      <c r="AA20" s="58">
        <v>25690.49</v>
      </c>
      <c r="AB20" s="58">
        <v>26514.25</v>
      </c>
      <c r="AC20" s="58">
        <v>27320.63</v>
      </c>
      <c r="AD20" s="58">
        <v>28110.959999999999</v>
      </c>
      <c r="AE20" s="58">
        <v>28886.59</v>
      </c>
      <c r="AF20" s="58">
        <v>29646.16</v>
      </c>
      <c r="AG20" s="58">
        <v>30391.03</v>
      </c>
      <c r="AH20" s="58">
        <v>31119.84</v>
      </c>
      <c r="AI20" s="58">
        <v>31835.29</v>
      </c>
      <c r="AJ20" s="58">
        <v>32536.03</v>
      </c>
      <c r="AK20" s="58">
        <v>33222.04</v>
      </c>
      <c r="AL20" s="58">
        <v>33894.699999999997</v>
      </c>
      <c r="AM20" s="58">
        <v>34553.97</v>
      </c>
      <c r="AN20" s="58">
        <v>34553.97</v>
      </c>
      <c r="AO20" s="58">
        <v>35199.879999999997</v>
      </c>
      <c r="AP20" s="58">
        <v>35833.760000000002</v>
      </c>
      <c r="AQ20" s="58">
        <v>36454.25</v>
      </c>
      <c r="AR20" s="58">
        <v>37062.720000000001</v>
      </c>
      <c r="AS20" s="58">
        <v>37659.15</v>
      </c>
      <c r="AT20" s="58">
        <v>38243.53</v>
      </c>
      <c r="AU20" s="58">
        <v>38815.89</v>
      </c>
      <c r="AV20" s="58">
        <v>39376.21</v>
      </c>
      <c r="AW20" s="58">
        <v>39925.83</v>
      </c>
      <c r="AX20" s="58">
        <v>40464.76</v>
      </c>
      <c r="AY20" s="58">
        <v>40992.980000000003</v>
      </c>
      <c r="AZ20" s="58">
        <v>41510.51</v>
      </c>
      <c r="BA20" s="58">
        <v>41510.51</v>
      </c>
      <c r="BB20" s="58">
        <v>42017.33</v>
      </c>
      <c r="BC20" s="58">
        <v>42514.81</v>
      </c>
      <c r="BD20" s="58">
        <v>43001.57</v>
      </c>
      <c r="BE20" s="58">
        <v>43478.99</v>
      </c>
      <c r="BF20" s="58">
        <v>43947.03</v>
      </c>
      <c r="BG20" s="58">
        <v>44405.72</v>
      </c>
      <c r="BH20" s="58">
        <v>44855.05</v>
      </c>
      <c r="BI20" s="58">
        <v>45295.01</v>
      </c>
      <c r="BJ20" s="58">
        <v>45726.95</v>
      </c>
      <c r="BK20" s="58">
        <v>46149.53</v>
      </c>
      <c r="BL20" s="58">
        <v>46564.09</v>
      </c>
      <c r="BM20" s="58">
        <v>46970.62</v>
      </c>
      <c r="BN20" s="58">
        <v>46970.62</v>
      </c>
      <c r="BO20" s="58">
        <v>47369.13</v>
      </c>
      <c r="BP20" s="58">
        <v>47759.61</v>
      </c>
      <c r="BQ20" s="58">
        <v>48142.080000000002</v>
      </c>
      <c r="BR20" s="58">
        <v>48516.52</v>
      </c>
      <c r="BS20" s="58">
        <v>48882.93</v>
      </c>
      <c r="BT20" s="58">
        <v>49242.66</v>
      </c>
      <c r="BU20" s="58">
        <v>49595.7</v>
      </c>
      <c r="BV20" s="58">
        <v>49940.72</v>
      </c>
      <c r="BW20" s="58">
        <v>50279.05</v>
      </c>
      <c r="BX20" s="58">
        <v>50610.7</v>
      </c>
      <c r="BY20" s="58">
        <v>50935.65</v>
      </c>
      <c r="BZ20" s="58">
        <v>51253.93</v>
      </c>
      <c r="CA20" s="58">
        <v>51253.93</v>
      </c>
      <c r="CB20" s="58">
        <v>51565.51</v>
      </c>
      <c r="CC20" s="58">
        <v>51871.75</v>
      </c>
      <c r="CD20" s="58">
        <v>52171.31</v>
      </c>
      <c r="CE20" s="58">
        <v>52465.5</v>
      </c>
      <c r="CF20" s="58">
        <v>52753.02</v>
      </c>
      <c r="CG20" s="58">
        <v>53035.19</v>
      </c>
      <c r="CH20" s="58">
        <v>53312</v>
      </c>
      <c r="CI20" s="58">
        <v>53583.47</v>
      </c>
      <c r="CJ20" s="58">
        <v>53849.59</v>
      </c>
      <c r="CK20" s="58">
        <v>54110.36</v>
      </c>
      <c r="CL20" s="58">
        <v>54365.78</v>
      </c>
      <c r="CM20" s="58">
        <v>54615.85</v>
      </c>
      <c r="CN20" s="58">
        <v>54615.85</v>
      </c>
      <c r="CO20" s="58">
        <v>54615.85</v>
      </c>
    </row>
    <row r="21" spans="1:93" ht="15.75" customHeight="1" x14ac:dyDescent="0.3"/>
    <row r="22" spans="1:93" ht="15.75" customHeight="1" x14ac:dyDescent="0.3"/>
    <row r="23" spans="1:93" ht="15.75" customHeight="1" x14ac:dyDescent="0.3"/>
    <row r="24" spans="1:93" ht="15.75" customHeight="1" x14ac:dyDescent="0.3"/>
    <row r="25" spans="1:93" ht="15.75" customHeight="1" x14ac:dyDescent="0.3"/>
    <row r="26" spans="1:93" ht="15.75" customHeight="1" x14ac:dyDescent="0.3"/>
    <row r="27" spans="1:93" ht="15.75" customHeight="1" x14ac:dyDescent="0.3"/>
    <row r="28" spans="1:93" ht="15.75" customHeight="1" x14ac:dyDescent="0.3"/>
    <row r="29" spans="1:93" ht="15.75" customHeight="1" x14ac:dyDescent="0.3"/>
    <row r="30" spans="1:93" ht="15.75" customHeight="1" x14ac:dyDescent="0.3"/>
    <row r="31" spans="1:93" ht="15.75" customHeight="1" x14ac:dyDescent="0.3"/>
    <row r="32" spans="1:9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319</v>
      </c>
    </row>
    <row r="3" spans="1:93" ht="14.4" x14ac:dyDescent="0.3">
      <c r="A3" s="56" t="s">
        <v>320</v>
      </c>
      <c r="B3" s="58">
        <v>0</v>
      </c>
      <c r="C3" s="58">
        <v>0</v>
      </c>
      <c r="D3" s="58">
        <v>0</v>
      </c>
      <c r="E3" s="58">
        <v>0</v>
      </c>
      <c r="F3" s="58">
        <v>0</v>
      </c>
      <c r="G3" s="58">
        <v>0</v>
      </c>
      <c r="H3" s="58">
        <v>0</v>
      </c>
      <c r="I3" s="58">
        <v>0</v>
      </c>
      <c r="J3" s="58">
        <v>0</v>
      </c>
      <c r="K3" s="58">
        <v>0</v>
      </c>
      <c r="L3" s="58">
        <v>0</v>
      </c>
      <c r="M3" s="58">
        <v>0</v>
      </c>
      <c r="N3" s="58">
        <v>0</v>
      </c>
      <c r="O3" s="58">
        <v>0</v>
      </c>
      <c r="P3" s="58">
        <v>0</v>
      </c>
      <c r="Q3" s="58">
        <v>0</v>
      </c>
      <c r="R3" s="58">
        <v>0</v>
      </c>
      <c r="S3" s="58">
        <v>0</v>
      </c>
      <c r="T3" s="58">
        <v>0</v>
      </c>
      <c r="U3" s="58">
        <v>0</v>
      </c>
      <c r="V3" s="58">
        <v>0</v>
      </c>
      <c r="W3" s="58">
        <v>0</v>
      </c>
      <c r="X3" s="58">
        <v>0</v>
      </c>
      <c r="Y3" s="58">
        <v>0</v>
      </c>
      <c r="Z3" s="58">
        <v>0</v>
      </c>
      <c r="AA3" s="58">
        <v>0</v>
      </c>
      <c r="AB3" s="58">
        <v>0</v>
      </c>
      <c r="AC3" s="58">
        <v>0</v>
      </c>
      <c r="AD3" s="58">
        <v>0</v>
      </c>
      <c r="AE3" s="58">
        <v>0</v>
      </c>
      <c r="AF3" s="58">
        <v>0</v>
      </c>
      <c r="AG3" s="58">
        <v>0</v>
      </c>
      <c r="AH3" s="58">
        <v>0</v>
      </c>
      <c r="AI3" s="58">
        <v>0</v>
      </c>
      <c r="AJ3" s="58">
        <v>0</v>
      </c>
      <c r="AK3" s="58">
        <v>0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58">
        <v>0</v>
      </c>
      <c r="AS3" s="58">
        <v>0</v>
      </c>
      <c r="AT3" s="58">
        <v>0</v>
      </c>
      <c r="AU3" s="58">
        <v>0</v>
      </c>
      <c r="AV3" s="58">
        <v>0</v>
      </c>
      <c r="AW3" s="58">
        <v>0</v>
      </c>
      <c r="AX3" s="58">
        <v>0</v>
      </c>
      <c r="AY3" s="58">
        <v>0</v>
      </c>
      <c r="AZ3" s="58">
        <v>0</v>
      </c>
      <c r="BA3" s="58">
        <v>0</v>
      </c>
      <c r="BB3" s="58">
        <v>0</v>
      </c>
      <c r="BC3" s="58">
        <v>0</v>
      </c>
      <c r="BD3" s="58">
        <v>0</v>
      </c>
      <c r="BE3" s="58">
        <v>0</v>
      </c>
      <c r="BF3" s="58">
        <v>0</v>
      </c>
      <c r="BG3" s="58">
        <v>0</v>
      </c>
      <c r="BH3" s="58">
        <v>0</v>
      </c>
      <c r="BI3" s="58">
        <v>0</v>
      </c>
      <c r="BJ3" s="58">
        <v>0</v>
      </c>
      <c r="BK3" s="58">
        <v>0</v>
      </c>
      <c r="BL3" s="58">
        <v>0</v>
      </c>
      <c r="BM3" s="58">
        <v>0</v>
      </c>
      <c r="BN3" s="58">
        <v>0</v>
      </c>
      <c r="BO3" s="58">
        <v>0</v>
      </c>
      <c r="BP3" s="58">
        <v>0</v>
      </c>
      <c r="BQ3" s="58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0</v>
      </c>
      <c r="BX3" s="58">
        <v>0</v>
      </c>
      <c r="BY3" s="58">
        <v>0</v>
      </c>
      <c r="BZ3" s="58">
        <v>0</v>
      </c>
      <c r="CA3" s="58">
        <v>0</v>
      </c>
      <c r="CB3" s="58">
        <v>0</v>
      </c>
      <c r="CC3" s="58">
        <v>0</v>
      </c>
      <c r="CD3" s="58">
        <v>0</v>
      </c>
      <c r="CE3" s="58">
        <v>0</v>
      </c>
      <c r="CF3" s="58">
        <v>0</v>
      </c>
      <c r="CG3" s="58">
        <v>0</v>
      </c>
      <c r="CH3" s="58">
        <v>0</v>
      </c>
      <c r="CI3" s="58">
        <v>0</v>
      </c>
      <c r="CJ3" s="58">
        <v>0</v>
      </c>
      <c r="CK3" s="58">
        <v>0</v>
      </c>
      <c r="CL3" s="58">
        <v>0</v>
      </c>
      <c r="CM3" s="58">
        <v>0</v>
      </c>
      <c r="CN3" s="58">
        <v>0</v>
      </c>
      <c r="CO3" s="58">
        <v>0</v>
      </c>
    </row>
    <row r="4" spans="1:93" ht="14.4" x14ac:dyDescent="0.3">
      <c r="A4" s="56" t="s">
        <v>321</v>
      </c>
      <c r="B4" s="58">
        <v>0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0</v>
      </c>
      <c r="U4" s="58">
        <v>0</v>
      </c>
      <c r="V4" s="58">
        <v>0</v>
      </c>
      <c r="W4" s="58">
        <v>0</v>
      </c>
      <c r="X4" s="58">
        <v>0</v>
      </c>
      <c r="Y4" s="58">
        <v>0</v>
      </c>
      <c r="Z4" s="58">
        <v>0</v>
      </c>
      <c r="AA4" s="58">
        <v>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0</v>
      </c>
      <c r="AW4" s="58">
        <v>0</v>
      </c>
      <c r="AX4" s="58">
        <v>0</v>
      </c>
      <c r="AY4" s="58">
        <v>0</v>
      </c>
      <c r="AZ4" s="58">
        <v>0</v>
      </c>
      <c r="BA4" s="58">
        <v>0</v>
      </c>
      <c r="BB4" s="58">
        <v>0</v>
      </c>
      <c r="BC4" s="58">
        <v>0</v>
      </c>
      <c r="BD4" s="58">
        <v>0</v>
      </c>
      <c r="BE4" s="58">
        <v>0</v>
      </c>
      <c r="BF4" s="58">
        <v>0</v>
      </c>
      <c r="BG4" s="58">
        <v>0</v>
      </c>
      <c r="BH4" s="58">
        <v>0</v>
      </c>
      <c r="BI4" s="58">
        <v>0</v>
      </c>
      <c r="BJ4" s="58">
        <v>0</v>
      </c>
      <c r="BK4" s="58">
        <v>0</v>
      </c>
      <c r="BL4" s="58">
        <v>0</v>
      </c>
      <c r="BM4" s="58">
        <v>0</v>
      </c>
      <c r="BN4" s="58">
        <v>0</v>
      </c>
      <c r="BO4" s="58">
        <v>0</v>
      </c>
      <c r="BP4" s="58">
        <v>0</v>
      </c>
      <c r="BQ4" s="58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0</v>
      </c>
      <c r="BX4" s="58">
        <v>0</v>
      </c>
      <c r="BY4" s="58">
        <v>0</v>
      </c>
      <c r="BZ4" s="58">
        <v>0</v>
      </c>
      <c r="CA4" s="58">
        <v>0</v>
      </c>
      <c r="CB4" s="58">
        <v>0</v>
      </c>
      <c r="CC4" s="58">
        <v>0</v>
      </c>
      <c r="CD4" s="58">
        <v>0</v>
      </c>
      <c r="CE4" s="58">
        <v>0</v>
      </c>
      <c r="CF4" s="58">
        <v>0</v>
      </c>
      <c r="CG4" s="58">
        <v>0</v>
      </c>
      <c r="CH4" s="58">
        <v>0</v>
      </c>
      <c r="CI4" s="58">
        <v>0</v>
      </c>
      <c r="CJ4" s="58">
        <v>0</v>
      </c>
      <c r="CK4" s="58">
        <v>0</v>
      </c>
      <c r="CL4" s="58">
        <v>0</v>
      </c>
      <c r="CM4" s="58">
        <v>0</v>
      </c>
      <c r="CN4" s="58">
        <v>0</v>
      </c>
      <c r="CO4" s="58">
        <v>0</v>
      </c>
    </row>
    <row r="5" spans="1:93" ht="14.4" x14ac:dyDescent="0.3">
      <c r="A5" s="56" t="s">
        <v>322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v>0</v>
      </c>
      <c r="AJ5" s="58">
        <v>0</v>
      </c>
      <c r="AK5" s="58">
        <v>0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8">
        <v>0</v>
      </c>
      <c r="AS5" s="58">
        <v>0</v>
      </c>
      <c r="AT5" s="58">
        <v>0</v>
      </c>
      <c r="AU5" s="58">
        <v>0</v>
      </c>
      <c r="AV5" s="58">
        <v>0</v>
      </c>
      <c r="AW5" s="58">
        <v>0</v>
      </c>
      <c r="AX5" s="58">
        <v>0</v>
      </c>
      <c r="AY5" s="58">
        <v>0</v>
      </c>
      <c r="AZ5" s="58">
        <v>0</v>
      </c>
      <c r="BA5" s="58">
        <v>0</v>
      </c>
      <c r="BB5" s="58">
        <v>0</v>
      </c>
      <c r="BC5" s="58">
        <v>0</v>
      </c>
      <c r="BD5" s="58">
        <v>0</v>
      </c>
      <c r="BE5" s="58">
        <v>0</v>
      </c>
      <c r="BF5" s="58">
        <v>0</v>
      </c>
      <c r="BG5" s="58">
        <v>0</v>
      </c>
      <c r="BH5" s="58">
        <v>0</v>
      </c>
      <c r="BI5" s="58">
        <v>0</v>
      </c>
      <c r="BJ5" s="58">
        <v>0</v>
      </c>
      <c r="BK5" s="58">
        <v>0</v>
      </c>
      <c r="BL5" s="58">
        <v>0</v>
      </c>
      <c r="BM5" s="58">
        <v>0</v>
      </c>
      <c r="BN5" s="58">
        <v>0</v>
      </c>
      <c r="BO5" s="58">
        <v>0</v>
      </c>
      <c r="BP5" s="58">
        <v>0</v>
      </c>
      <c r="BQ5" s="58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0</v>
      </c>
      <c r="BX5" s="58">
        <v>0</v>
      </c>
      <c r="BY5" s="58">
        <v>0</v>
      </c>
      <c r="BZ5" s="58">
        <v>0</v>
      </c>
      <c r="CA5" s="58">
        <v>0</v>
      </c>
      <c r="CB5" s="58">
        <v>0</v>
      </c>
      <c r="CC5" s="58">
        <v>0</v>
      </c>
      <c r="CD5" s="58">
        <v>0</v>
      </c>
      <c r="CE5" s="58">
        <v>0</v>
      </c>
      <c r="CF5" s="58">
        <v>0</v>
      </c>
      <c r="CG5" s="58">
        <v>0</v>
      </c>
      <c r="CH5" s="58">
        <v>0</v>
      </c>
      <c r="CI5" s="58">
        <v>0</v>
      </c>
      <c r="CJ5" s="58">
        <v>0</v>
      </c>
      <c r="CK5" s="58">
        <v>0</v>
      </c>
      <c r="CL5" s="58">
        <v>0</v>
      </c>
      <c r="CM5" s="58">
        <v>0</v>
      </c>
      <c r="CN5" s="58">
        <v>0</v>
      </c>
      <c r="CO5" s="58">
        <v>0</v>
      </c>
    </row>
    <row r="6" spans="1:93" ht="14.4" x14ac:dyDescent="0.3">
      <c r="A6" s="56" t="s">
        <v>323</v>
      </c>
      <c r="B6" s="58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58">
        <v>0</v>
      </c>
      <c r="AZ6" s="58">
        <v>0</v>
      </c>
      <c r="BA6" s="58">
        <v>0</v>
      </c>
      <c r="BB6" s="58">
        <v>0</v>
      </c>
      <c r="BC6" s="58">
        <v>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8">
        <v>0</v>
      </c>
      <c r="BZ6" s="58">
        <v>0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0</v>
      </c>
      <c r="CM6" s="58">
        <v>0</v>
      </c>
      <c r="CN6" s="58">
        <v>0</v>
      </c>
      <c r="CO6" s="58">
        <v>0</v>
      </c>
    </row>
    <row r="7" spans="1:93" ht="14.4" x14ac:dyDescent="0.3">
      <c r="A7" s="56" t="s">
        <v>324</v>
      </c>
      <c r="B7" s="58">
        <v>0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  <c r="AI7" s="58">
        <v>0</v>
      </c>
      <c r="AJ7" s="58">
        <v>0</v>
      </c>
      <c r="AK7" s="58">
        <v>0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58">
        <v>0</v>
      </c>
      <c r="AX7" s="58">
        <v>0</v>
      </c>
      <c r="AY7" s="58">
        <v>0</v>
      </c>
      <c r="AZ7" s="58">
        <v>0</v>
      </c>
      <c r="BA7" s="58">
        <v>0</v>
      </c>
      <c r="BB7" s="58">
        <v>0</v>
      </c>
      <c r="BC7" s="58">
        <v>0</v>
      </c>
      <c r="BD7" s="58">
        <v>0</v>
      </c>
      <c r="BE7" s="58">
        <v>0</v>
      </c>
      <c r="BF7" s="58">
        <v>0</v>
      </c>
      <c r="BG7" s="58">
        <v>0</v>
      </c>
      <c r="BH7" s="58">
        <v>0</v>
      </c>
      <c r="BI7" s="58">
        <v>0</v>
      </c>
      <c r="BJ7" s="58">
        <v>0</v>
      </c>
      <c r="BK7" s="58">
        <v>0</v>
      </c>
      <c r="BL7" s="58">
        <v>0</v>
      </c>
      <c r="BM7" s="58">
        <v>0</v>
      </c>
      <c r="BN7" s="58">
        <v>0</v>
      </c>
      <c r="BO7" s="58">
        <v>0</v>
      </c>
      <c r="BP7" s="58">
        <v>0</v>
      </c>
      <c r="BQ7" s="58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0</v>
      </c>
      <c r="BX7" s="58">
        <v>0</v>
      </c>
      <c r="BY7" s="58">
        <v>0</v>
      </c>
      <c r="BZ7" s="58">
        <v>0</v>
      </c>
      <c r="CA7" s="58">
        <v>0</v>
      </c>
      <c r="CB7" s="58">
        <v>0</v>
      </c>
      <c r="CC7" s="58">
        <v>0</v>
      </c>
      <c r="CD7" s="58">
        <v>0</v>
      </c>
      <c r="CE7" s="58">
        <v>0</v>
      </c>
      <c r="CF7" s="58">
        <v>0</v>
      </c>
      <c r="CG7" s="58">
        <v>0</v>
      </c>
      <c r="CH7" s="58">
        <v>0</v>
      </c>
      <c r="CI7" s="58">
        <v>0</v>
      </c>
      <c r="CJ7" s="58">
        <v>0</v>
      </c>
      <c r="CK7" s="58">
        <v>0</v>
      </c>
      <c r="CL7" s="58">
        <v>0</v>
      </c>
      <c r="CM7" s="58">
        <v>0</v>
      </c>
      <c r="CN7" s="58">
        <v>0</v>
      </c>
      <c r="CO7" s="58">
        <v>0</v>
      </c>
    </row>
    <row r="8" spans="1:93" ht="14.4" x14ac:dyDescent="0.3">
      <c r="A8" s="56" t="s">
        <v>325</v>
      </c>
      <c r="B8" s="57">
        <v>0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v>0</v>
      </c>
      <c r="N8" s="57">
        <v>0</v>
      </c>
      <c r="O8" s="57">
        <v>0</v>
      </c>
      <c r="P8" s="57">
        <v>0</v>
      </c>
      <c r="Q8" s="57">
        <v>0</v>
      </c>
      <c r="R8" s="57">
        <v>0</v>
      </c>
      <c r="S8" s="57">
        <v>0</v>
      </c>
      <c r="T8" s="57">
        <v>0</v>
      </c>
      <c r="U8" s="57">
        <v>0</v>
      </c>
      <c r="V8" s="57">
        <v>0</v>
      </c>
      <c r="W8" s="57">
        <v>0</v>
      </c>
      <c r="X8" s="57">
        <v>0</v>
      </c>
      <c r="Y8" s="57">
        <v>0</v>
      </c>
      <c r="Z8" s="57">
        <v>0</v>
      </c>
      <c r="AA8" s="57">
        <v>0</v>
      </c>
      <c r="AB8" s="57">
        <v>0</v>
      </c>
      <c r="AC8" s="57">
        <v>0</v>
      </c>
      <c r="AD8" s="57">
        <v>0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  <c r="AJ8" s="57">
        <v>0</v>
      </c>
      <c r="AK8" s="57">
        <v>0</v>
      </c>
      <c r="AL8" s="57">
        <v>0</v>
      </c>
      <c r="AM8" s="57">
        <v>0</v>
      </c>
      <c r="AN8" s="57">
        <v>0</v>
      </c>
      <c r="AO8" s="57">
        <v>0</v>
      </c>
      <c r="AP8" s="57">
        <v>0</v>
      </c>
      <c r="AQ8" s="57">
        <v>0</v>
      </c>
      <c r="AR8" s="57">
        <v>0</v>
      </c>
      <c r="AS8" s="57">
        <v>0</v>
      </c>
      <c r="AT8" s="57">
        <v>0</v>
      </c>
      <c r="AU8" s="57">
        <v>0</v>
      </c>
      <c r="AV8" s="57">
        <v>0</v>
      </c>
      <c r="AW8" s="57">
        <v>0</v>
      </c>
      <c r="AX8" s="57">
        <v>0</v>
      </c>
      <c r="AY8" s="57">
        <v>0</v>
      </c>
      <c r="AZ8" s="57">
        <v>0</v>
      </c>
      <c r="BA8" s="57">
        <v>0</v>
      </c>
      <c r="BB8" s="57">
        <v>0</v>
      </c>
      <c r="BC8" s="57">
        <v>0</v>
      </c>
      <c r="BD8" s="57">
        <v>0</v>
      </c>
      <c r="BE8" s="57">
        <v>0</v>
      </c>
      <c r="BF8" s="57">
        <v>0</v>
      </c>
      <c r="BG8" s="57">
        <v>0</v>
      </c>
      <c r="BH8" s="57">
        <v>0</v>
      </c>
      <c r="BI8" s="57">
        <v>0</v>
      </c>
      <c r="BJ8" s="57">
        <v>0</v>
      </c>
      <c r="BK8" s="57">
        <v>0</v>
      </c>
      <c r="BL8" s="57">
        <v>0</v>
      </c>
      <c r="BM8" s="57">
        <v>0</v>
      </c>
      <c r="BN8" s="57">
        <v>0</v>
      </c>
      <c r="BO8" s="57">
        <v>0</v>
      </c>
      <c r="BP8" s="57">
        <v>0</v>
      </c>
      <c r="BQ8" s="57">
        <v>0</v>
      </c>
      <c r="BR8" s="57">
        <v>0</v>
      </c>
      <c r="BS8" s="57">
        <v>0</v>
      </c>
      <c r="BT8" s="57">
        <v>0</v>
      </c>
      <c r="BU8" s="57">
        <v>0</v>
      </c>
      <c r="BV8" s="57">
        <v>0</v>
      </c>
      <c r="BW8" s="57">
        <v>0</v>
      </c>
      <c r="BX8" s="57">
        <v>0</v>
      </c>
      <c r="BY8" s="57">
        <v>0</v>
      </c>
      <c r="BZ8" s="57">
        <v>0</v>
      </c>
      <c r="CA8" s="57">
        <v>0</v>
      </c>
      <c r="CB8" s="57">
        <v>0</v>
      </c>
      <c r="CC8" s="57">
        <v>0</v>
      </c>
      <c r="CD8" s="57">
        <v>0</v>
      </c>
      <c r="CE8" s="57">
        <v>0</v>
      </c>
      <c r="CF8" s="57">
        <v>0</v>
      </c>
      <c r="CG8" s="57">
        <v>0</v>
      </c>
      <c r="CH8" s="57">
        <v>0</v>
      </c>
      <c r="CI8" s="57">
        <v>0</v>
      </c>
      <c r="CJ8" s="57">
        <v>0</v>
      </c>
      <c r="CK8" s="57">
        <v>0</v>
      </c>
      <c r="CL8" s="57">
        <v>0</v>
      </c>
      <c r="CM8" s="57">
        <v>0</v>
      </c>
      <c r="CN8" s="57">
        <v>0</v>
      </c>
      <c r="CO8" s="57">
        <v>0</v>
      </c>
    </row>
    <row r="9" spans="1:93" ht="14.4" x14ac:dyDescent="0.3">
      <c r="A9" s="56" t="s">
        <v>326</v>
      </c>
      <c r="B9" s="57">
        <v>0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57">
        <v>0</v>
      </c>
      <c r="Q9" s="57">
        <v>0</v>
      </c>
      <c r="R9" s="57">
        <v>0</v>
      </c>
      <c r="S9" s="57">
        <v>0</v>
      </c>
      <c r="T9" s="57">
        <v>0</v>
      </c>
      <c r="U9" s="57">
        <v>0</v>
      </c>
      <c r="V9" s="57">
        <v>0</v>
      </c>
      <c r="W9" s="57">
        <v>0</v>
      </c>
      <c r="X9" s="57">
        <v>0</v>
      </c>
      <c r="Y9" s="57">
        <v>0</v>
      </c>
      <c r="Z9" s="57">
        <v>0</v>
      </c>
      <c r="AA9" s="57">
        <v>0</v>
      </c>
      <c r="AB9" s="57">
        <v>0</v>
      </c>
      <c r="AC9" s="57">
        <v>0</v>
      </c>
      <c r="AD9" s="57">
        <v>0</v>
      </c>
      <c r="AE9" s="57">
        <v>0</v>
      </c>
      <c r="AF9" s="57">
        <v>0</v>
      </c>
      <c r="AG9" s="57">
        <v>0</v>
      </c>
      <c r="AH9" s="57">
        <v>0</v>
      </c>
      <c r="AI9" s="57">
        <v>0</v>
      </c>
      <c r="AJ9" s="57">
        <v>0</v>
      </c>
      <c r="AK9" s="57">
        <v>0</v>
      </c>
      <c r="AL9" s="57">
        <v>0</v>
      </c>
      <c r="AM9" s="57">
        <v>0</v>
      </c>
      <c r="AN9" s="57">
        <v>0</v>
      </c>
      <c r="AO9" s="57">
        <v>0</v>
      </c>
      <c r="AP9" s="57">
        <v>0</v>
      </c>
      <c r="AQ9" s="57">
        <v>0</v>
      </c>
      <c r="AR9" s="57">
        <v>0</v>
      </c>
      <c r="AS9" s="57">
        <v>0</v>
      </c>
      <c r="AT9" s="57">
        <v>0</v>
      </c>
      <c r="AU9" s="57">
        <v>0</v>
      </c>
      <c r="AV9" s="57">
        <v>0</v>
      </c>
      <c r="AW9" s="57">
        <v>0</v>
      </c>
      <c r="AX9" s="57">
        <v>0</v>
      </c>
      <c r="AY9" s="57">
        <v>0</v>
      </c>
      <c r="AZ9" s="57">
        <v>0</v>
      </c>
      <c r="BA9" s="57">
        <v>0</v>
      </c>
      <c r="BB9" s="57">
        <v>0</v>
      </c>
      <c r="BC9" s="57">
        <v>0</v>
      </c>
      <c r="BD9" s="57">
        <v>0</v>
      </c>
      <c r="BE9" s="57">
        <v>0</v>
      </c>
      <c r="BF9" s="57">
        <v>0</v>
      </c>
      <c r="BG9" s="57">
        <v>0</v>
      </c>
      <c r="BH9" s="57">
        <v>0</v>
      </c>
      <c r="BI9" s="57">
        <v>0</v>
      </c>
      <c r="BJ9" s="57">
        <v>0</v>
      </c>
      <c r="BK9" s="57">
        <v>0</v>
      </c>
      <c r="BL9" s="57">
        <v>0</v>
      </c>
      <c r="BM9" s="57">
        <v>0</v>
      </c>
      <c r="BN9" s="57">
        <v>0</v>
      </c>
      <c r="BO9" s="57">
        <v>0</v>
      </c>
      <c r="BP9" s="57">
        <v>0</v>
      </c>
      <c r="BQ9" s="57">
        <v>0</v>
      </c>
      <c r="BR9" s="57">
        <v>0</v>
      </c>
      <c r="BS9" s="57">
        <v>0</v>
      </c>
      <c r="BT9" s="57">
        <v>0</v>
      </c>
      <c r="BU9" s="57">
        <v>0</v>
      </c>
      <c r="BV9" s="57">
        <v>0</v>
      </c>
      <c r="BW9" s="57">
        <v>0</v>
      </c>
      <c r="BX9" s="57">
        <v>0</v>
      </c>
      <c r="BY9" s="57">
        <v>0</v>
      </c>
      <c r="BZ9" s="57">
        <v>0</v>
      </c>
      <c r="CA9" s="57">
        <v>0</v>
      </c>
      <c r="CB9" s="57">
        <v>0</v>
      </c>
      <c r="CC9" s="57">
        <v>0</v>
      </c>
      <c r="CD9" s="57">
        <v>0</v>
      </c>
      <c r="CE9" s="57">
        <v>0</v>
      </c>
      <c r="CF9" s="57">
        <v>0</v>
      </c>
      <c r="CG9" s="57">
        <v>0</v>
      </c>
      <c r="CH9" s="57">
        <v>0</v>
      </c>
      <c r="CI9" s="57">
        <v>0</v>
      </c>
      <c r="CJ9" s="57">
        <v>0</v>
      </c>
      <c r="CK9" s="57">
        <v>0</v>
      </c>
      <c r="CL9" s="57">
        <v>0</v>
      </c>
      <c r="CM9" s="57">
        <v>0</v>
      </c>
      <c r="CN9" s="57">
        <v>0</v>
      </c>
      <c r="CO9" s="57">
        <v>0</v>
      </c>
    </row>
    <row r="10" spans="1:93" ht="14.4" x14ac:dyDescent="0.3">
      <c r="A10" s="56" t="s">
        <v>327</v>
      </c>
      <c r="B10" s="60">
        <v>0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>
        <v>0</v>
      </c>
      <c r="AX10" s="60">
        <v>0</v>
      </c>
      <c r="AY10" s="60">
        <v>0</v>
      </c>
      <c r="AZ10" s="60">
        <v>0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60">
        <v>0</v>
      </c>
      <c r="BJ10" s="60">
        <v>0</v>
      </c>
      <c r="BK10" s="60">
        <v>0</v>
      </c>
      <c r="BL10" s="60">
        <v>0</v>
      </c>
      <c r="BM10" s="60">
        <v>0</v>
      </c>
      <c r="BN10" s="60">
        <v>0</v>
      </c>
      <c r="BO10" s="60">
        <v>0</v>
      </c>
      <c r="BP10" s="60">
        <v>0</v>
      </c>
      <c r="BQ10" s="60">
        <v>0</v>
      </c>
      <c r="BR10" s="60">
        <v>0</v>
      </c>
      <c r="BS10" s="60">
        <v>0</v>
      </c>
      <c r="BT10" s="60">
        <v>0</v>
      </c>
      <c r="BU10" s="60">
        <v>0</v>
      </c>
      <c r="BV10" s="60">
        <v>0</v>
      </c>
      <c r="BW10" s="60">
        <v>0</v>
      </c>
      <c r="BX10" s="60">
        <v>0</v>
      </c>
      <c r="BY10" s="60">
        <v>0</v>
      </c>
      <c r="BZ10" s="60">
        <v>0</v>
      </c>
      <c r="CA10" s="60">
        <v>0</v>
      </c>
      <c r="CB10" s="60">
        <v>0</v>
      </c>
      <c r="CC10" s="60">
        <v>0</v>
      </c>
      <c r="CD10" s="60">
        <v>0</v>
      </c>
      <c r="CE10" s="60">
        <v>0</v>
      </c>
      <c r="CF10" s="60">
        <v>0</v>
      </c>
      <c r="CG10" s="60">
        <v>0</v>
      </c>
      <c r="CH10" s="60">
        <v>0</v>
      </c>
      <c r="CI10" s="60">
        <v>0</v>
      </c>
      <c r="CJ10" s="60">
        <v>0</v>
      </c>
      <c r="CK10" s="60">
        <v>0</v>
      </c>
      <c r="CL10" s="60">
        <v>0</v>
      </c>
      <c r="CM10" s="60">
        <v>0</v>
      </c>
      <c r="CN10" s="60">
        <v>0</v>
      </c>
      <c r="CO10" s="60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" width="45.6640625" customWidth="1"/>
    <col min="2" max="93" width="14.6640625" customWidth="1"/>
  </cols>
  <sheetData>
    <row r="1" spans="1:93" ht="14.4" x14ac:dyDescent="0.3"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6" t="s">
        <v>80</v>
      </c>
      <c r="H1" s="56" t="s">
        <v>81</v>
      </c>
      <c r="I1" s="56" t="s">
        <v>82</v>
      </c>
      <c r="J1" s="56" t="s">
        <v>83</v>
      </c>
      <c r="K1" s="56" t="s">
        <v>84</v>
      </c>
      <c r="L1" s="56" t="s">
        <v>85</v>
      </c>
      <c r="M1" s="56" t="s">
        <v>86</v>
      </c>
      <c r="N1" s="57">
        <v>2026</v>
      </c>
      <c r="O1" s="56" t="s">
        <v>87</v>
      </c>
      <c r="P1" s="56" t="s">
        <v>88</v>
      </c>
      <c r="Q1" s="56" t="s">
        <v>89</v>
      </c>
      <c r="R1" s="56" t="s">
        <v>90</v>
      </c>
      <c r="S1" s="56" t="s">
        <v>91</v>
      </c>
      <c r="T1" s="56" t="s">
        <v>92</v>
      </c>
      <c r="U1" s="56" t="s">
        <v>93</v>
      </c>
      <c r="V1" s="56" t="s">
        <v>94</v>
      </c>
      <c r="W1" s="56" t="s">
        <v>95</v>
      </c>
      <c r="X1" s="56" t="s">
        <v>96</v>
      </c>
      <c r="Y1" s="56" t="s">
        <v>97</v>
      </c>
      <c r="Z1" s="56" t="s">
        <v>98</v>
      </c>
      <c r="AA1" s="57">
        <v>2027</v>
      </c>
      <c r="AB1" s="56" t="s">
        <v>99</v>
      </c>
      <c r="AC1" s="56" t="s">
        <v>100</v>
      </c>
      <c r="AD1" s="56" t="s">
        <v>101</v>
      </c>
      <c r="AE1" s="56" t="s">
        <v>102</v>
      </c>
      <c r="AF1" s="56" t="s">
        <v>103</v>
      </c>
      <c r="AG1" s="56" t="s">
        <v>104</v>
      </c>
      <c r="AH1" s="56" t="s">
        <v>105</v>
      </c>
      <c r="AI1" s="56" t="s">
        <v>106</v>
      </c>
      <c r="AJ1" s="56" t="s">
        <v>107</v>
      </c>
      <c r="AK1" s="56" t="s">
        <v>108</v>
      </c>
      <c r="AL1" s="56" t="s">
        <v>109</v>
      </c>
      <c r="AM1" s="56" t="s">
        <v>110</v>
      </c>
      <c r="AN1" s="57">
        <v>2028</v>
      </c>
      <c r="AO1" s="56" t="s">
        <v>111</v>
      </c>
      <c r="AP1" s="56" t="s">
        <v>112</v>
      </c>
      <c r="AQ1" s="56" t="s">
        <v>113</v>
      </c>
      <c r="AR1" s="56" t="s">
        <v>114</v>
      </c>
      <c r="AS1" s="56" t="s">
        <v>115</v>
      </c>
      <c r="AT1" s="56" t="s">
        <v>116</v>
      </c>
      <c r="AU1" s="56" t="s">
        <v>117</v>
      </c>
      <c r="AV1" s="56" t="s">
        <v>118</v>
      </c>
      <c r="AW1" s="56" t="s">
        <v>119</v>
      </c>
      <c r="AX1" s="56" t="s">
        <v>120</v>
      </c>
      <c r="AY1" s="56" t="s">
        <v>121</v>
      </c>
      <c r="AZ1" s="56" t="s">
        <v>122</v>
      </c>
      <c r="BA1" s="57">
        <v>2029</v>
      </c>
      <c r="BB1" s="56" t="s">
        <v>123</v>
      </c>
      <c r="BC1" s="56" t="s">
        <v>124</v>
      </c>
      <c r="BD1" s="56" t="s">
        <v>125</v>
      </c>
      <c r="BE1" s="56" t="s">
        <v>126</v>
      </c>
      <c r="BF1" s="56" t="s">
        <v>127</v>
      </c>
      <c r="BG1" s="56" t="s">
        <v>128</v>
      </c>
      <c r="BH1" s="56" t="s">
        <v>129</v>
      </c>
      <c r="BI1" s="56" t="s">
        <v>130</v>
      </c>
      <c r="BJ1" s="56" t="s">
        <v>131</v>
      </c>
      <c r="BK1" s="56" t="s">
        <v>132</v>
      </c>
      <c r="BL1" s="56" t="s">
        <v>133</v>
      </c>
      <c r="BM1" s="56" t="s">
        <v>134</v>
      </c>
      <c r="BN1" s="57">
        <v>2030</v>
      </c>
      <c r="BO1" s="56" t="s">
        <v>135</v>
      </c>
      <c r="BP1" s="56" t="s">
        <v>136</v>
      </c>
      <c r="BQ1" s="56" t="s">
        <v>137</v>
      </c>
      <c r="BR1" s="56" t="s">
        <v>138</v>
      </c>
      <c r="BS1" s="56" t="s">
        <v>139</v>
      </c>
      <c r="BT1" s="56" t="s">
        <v>140</v>
      </c>
      <c r="BU1" s="56" t="s">
        <v>141</v>
      </c>
      <c r="BV1" s="56" t="s">
        <v>142</v>
      </c>
      <c r="BW1" s="56" t="s">
        <v>143</v>
      </c>
      <c r="BX1" s="56" t="s">
        <v>144</v>
      </c>
      <c r="BY1" s="56" t="s">
        <v>145</v>
      </c>
      <c r="BZ1" s="56" t="s">
        <v>146</v>
      </c>
      <c r="CA1" s="57">
        <v>2031</v>
      </c>
      <c r="CB1" s="56" t="s">
        <v>147</v>
      </c>
      <c r="CC1" s="56" t="s">
        <v>148</v>
      </c>
      <c r="CD1" s="56" t="s">
        <v>149</v>
      </c>
      <c r="CE1" s="56" t="s">
        <v>150</v>
      </c>
      <c r="CF1" s="56" t="s">
        <v>151</v>
      </c>
      <c r="CG1" s="56" t="s">
        <v>152</v>
      </c>
      <c r="CH1" s="56" t="s">
        <v>153</v>
      </c>
      <c r="CI1" s="56" t="s">
        <v>154</v>
      </c>
      <c r="CJ1" s="56" t="s">
        <v>155</v>
      </c>
      <c r="CK1" s="56" t="s">
        <v>156</v>
      </c>
      <c r="CL1" s="56" t="s">
        <v>157</v>
      </c>
      <c r="CM1" s="56" t="s">
        <v>158</v>
      </c>
      <c r="CN1" s="57">
        <v>2032</v>
      </c>
      <c r="CO1" s="56" t="s">
        <v>159</v>
      </c>
    </row>
    <row r="2" spans="1:93" ht="14.4" x14ac:dyDescent="0.3">
      <c r="A2" s="56" t="s">
        <v>328</v>
      </c>
      <c r="B2" s="58">
        <v>7291.33</v>
      </c>
      <c r="C2" s="58">
        <v>13003.46</v>
      </c>
      <c r="D2" s="58">
        <v>23857.83</v>
      </c>
      <c r="E2" s="58">
        <v>39747.660000000003</v>
      </c>
      <c r="F2" s="58">
        <v>60044.1</v>
      </c>
      <c r="G2" s="58">
        <v>84087.16</v>
      </c>
      <c r="H2" s="58">
        <v>110727.89</v>
      </c>
      <c r="I2" s="58">
        <v>140890.26999999999</v>
      </c>
      <c r="J2" s="58">
        <v>174500.68</v>
      </c>
      <c r="K2" s="58">
        <v>211463.18</v>
      </c>
      <c r="L2" s="58">
        <v>251688.55</v>
      </c>
      <c r="M2" s="58">
        <v>295103.06</v>
      </c>
      <c r="N2" s="58">
        <v>295103.06</v>
      </c>
      <c r="O2" s="58">
        <v>328895.65999999997</v>
      </c>
      <c r="P2" s="58">
        <v>357266.92</v>
      </c>
      <c r="Q2" s="58">
        <v>386954.62</v>
      </c>
      <c r="R2" s="58">
        <v>417895.89</v>
      </c>
      <c r="S2" s="58">
        <v>450090.91</v>
      </c>
      <c r="T2" s="58">
        <v>483481.45</v>
      </c>
      <c r="U2" s="58">
        <v>518012.58</v>
      </c>
      <c r="V2" s="58">
        <v>553703.32999999996</v>
      </c>
      <c r="W2" s="58">
        <v>565507.04</v>
      </c>
      <c r="X2" s="58">
        <v>578367.18999999994</v>
      </c>
      <c r="Y2" s="58">
        <v>592235.57999999996</v>
      </c>
      <c r="Z2" s="58">
        <v>607153.61</v>
      </c>
      <c r="AA2" s="58">
        <v>607153.61</v>
      </c>
      <c r="AB2" s="58">
        <v>617600.55000000005</v>
      </c>
      <c r="AC2" s="58">
        <v>629836.63</v>
      </c>
      <c r="AD2" s="58">
        <v>640517.69999999995</v>
      </c>
      <c r="AE2" s="58">
        <v>651664.93000000005</v>
      </c>
      <c r="AF2" s="58">
        <v>663667.06000000006</v>
      </c>
      <c r="AG2" s="58">
        <v>676482.64</v>
      </c>
      <c r="AH2" s="58">
        <v>690184.91</v>
      </c>
      <c r="AI2" s="58">
        <v>704745.46</v>
      </c>
      <c r="AJ2" s="58">
        <v>720122.84</v>
      </c>
      <c r="AK2" s="58">
        <v>736279.67</v>
      </c>
      <c r="AL2" s="58">
        <v>753183.24</v>
      </c>
      <c r="AM2" s="58">
        <v>770796.33</v>
      </c>
      <c r="AN2" s="58">
        <v>770796.33</v>
      </c>
      <c r="AO2" s="58">
        <v>785475.74</v>
      </c>
      <c r="AP2" s="58">
        <v>801993.97</v>
      </c>
      <c r="AQ2" s="58">
        <v>817161.9</v>
      </c>
      <c r="AR2" s="58">
        <v>832755.82</v>
      </c>
      <c r="AS2" s="58">
        <v>848727.48</v>
      </c>
      <c r="AT2" s="58">
        <v>865028.44</v>
      </c>
      <c r="AU2" s="58">
        <v>881608.91</v>
      </c>
      <c r="AV2" s="58">
        <v>898418.23</v>
      </c>
      <c r="AW2" s="58">
        <v>915409.08</v>
      </c>
      <c r="AX2" s="58">
        <v>932531.28</v>
      </c>
      <c r="AY2" s="58">
        <v>948233.12</v>
      </c>
      <c r="AZ2" s="58">
        <v>963646.21</v>
      </c>
      <c r="BA2" s="58">
        <v>963646.21</v>
      </c>
      <c r="BB2" s="58">
        <v>996062.53</v>
      </c>
      <c r="BC2" s="58">
        <v>1034020.12</v>
      </c>
      <c r="BD2" s="58">
        <v>1066207</v>
      </c>
      <c r="BE2" s="58">
        <v>1099175.76</v>
      </c>
      <c r="BF2" s="58">
        <v>1132910.82</v>
      </c>
      <c r="BG2" s="58">
        <v>1167396.24</v>
      </c>
      <c r="BH2" s="58">
        <v>1202616.5</v>
      </c>
      <c r="BI2" s="58">
        <v>1238555.6000000001</v>
      </c>
      <c r="BJ2" s="58">
        <v>1275203.06</v>
      </c>
      <c r="BK2" s="58">
        <v>1312540.1100000001</v>
      </c>
      <c r="BL2" s="58">
        <v>1348682.49</v>
      </c>
      <c r="BM2" s="58">
        <v>1385487.74</v>
      </c>
      <c r="BN2" s="58">
        <v>1385487.74</v>
      </c>
      <c r="BO2" s="58">
        <v>1426852.39</v>
      </c>
      <c r="BP2" s="58">
        <v>1469761.24</v>
      </c>
      <c r="BQ2" s="58">
        <v>1513362.04</v>
      </c>
      <c r="BR2" s="58">
        <v>1557640.21</v>
      </c>
      <c r="BS2" s="58">
        <v>1602581.23</v>
      </c>
      <c r="BT2" s="58">
        <v>1648175.08</v>
      </c>
      <c r="BU2" s="58">
        <v>1694409.63</v>
      </c>
      <c r="BV2" s="58">
        <v>1741266.76</v>
      </c>
      <c r="BW2" s="58">
        <v>1788737.47</v>
      </c>
      <c r="BX2" s="58">
        <v>1836809.14</v>
      </c>
      <c r="BY2" s="58">
        <v>1885469.13</v>
      </c>
      <c r="BZ2" s="58">
        <v>1934705.33</v>
      </c>
      <c r="CA2" s="58">
        <v>1934705.33</v>
      </c>
      <c r="CB2" s="58">
        <v>1980066.58</v>
      </c>
      <c r="CC2" s="58">
        <v>2026790.33</v>
      </c>
      <c r="CD2" s="58">
        <v>2074060.37</v>
      </c>
      <c r="CE2" s="58">
        <v>2121869.09</v>
      </c>
      <c r="CF2" s="58">
        <v>2170201.8199999998</v>
      </c>
      <c r="CG2" s="58">
        <v>2219050.92</v>
      </c>
      <c r="CH2" s="58">
        <v>2268406.6800000002</v>
      </c>
      <c r="CI2" s="58">
        <v>2318258.4700000002</v>
      </c>
      <c r="CJ2" s="58">
        <v>2367097.77</v>
      </c>
      <c r="CK2" s="58">
        <v>2415100.15</v>
      </c>
      <c r="CL2" s="58">
        <v>2463444.94</v>
      </c>
      <c r="CM2" s="58">
        <v>2512245.98</v>
      </c>
      <c r="CN2" s="58">
        <v>2512245.98</v>
      </c>
      <c r="CO2" s="58">
        <v>2512245.98</v>
      </c>
    </row>
    <row r="3" spans="1:93" ht="14.4" x14ac:dyDescent="0.3">
      <c r="A3" s="56" t="s">
        <v>329</v>
      </c>
      <c r="B3" s="58">
        <v>7291.33</v>
      </c>
      <c r="C3" s="58">
        <v>13003.46</v>
      </c>
      <c r="D3" s="58">
        <v>23857.83</v>
      </c>
      <c r="E3" s="58">
        <v>39747.660000000003</v>
      </c>
      <c r="F3" s="58">
        <v>60044.1</v>
      </c>
      <c r="G3" s="58">
        <v>84087.16</v>
      </c>
      <c r="H3" s="58">
        <v>110727.89</v>
      </c>
      <c r="I3" s="58">
        <v>140890.26999999999</v>
      </c>
      <c r="J3" s="58">
        <v>174500.68</v>
      </c>
      <c r="K3" s="58">
        <v>211463.18</v>
      </c>
      <c r="L3" s="58">
        <v>251688.55</v>
      </c>
      <c r="M3" s="58">
        <v>295103.06</v>
      </c>
      <c r="N3" s="58">
        <v>295103.06</v>
      </c>
      <c r="O3" s="58">
        <v>328895.65999999997</v>
      </c>
      <c r="P3" s="58">
        <v>357266.92</v>
      </c>
      <c r="Q3" s="58">
        <v>386954.62</v>
      </c>
      <c r="R3" s="58">
        <v>417895.89</v>
      </c>
      <c r="S3" s="58">
        <v>450090.91</v>
      </c>
      <c r="T3" s="58">
        <v>483481.45</v>
      </c>
      <c r="U3" s="58">
        <v>518012.58</v>
      </c>
      <c r="V3" s="58">
        <v>553703.32999999996</v>
      </c>
      <c r="W3" s="58">
        <v>565507.04</v>
      </c>
      <c r="X3" s="58">
        <v>578367.18999999994</v>
      </c>
      <c r="Y3" s="58">
        <v>592235.57999999996</v>
      </c>
      <c r="Z3" s="58">
        <v>607153.61</v>
      </c>
      <c r="AA3" s="58">
        <v>607153.61</v>
      </c>
      <c r="AB3" s="58">
        <v>617600.55000000005</v>
      </c>
      <c r="AC3" s="58">
        <v>629836.63</v>
      </c>
      <c r="AD3" s="58">
        <v>640517.69999999995</v>
      </c>
      <c r="AE3" s="58">
        <v>651664.93000000005</v>
      </c>
      <c r="AF3" s="58">
        <v>663667.06000000006</v>
      </c>
      <c r="AG3" s="58">
        <v>676482.64</v>
      </c>
      <c r="AH3" s="58">
        <v>690184.91</v>
      </c>
      <c r="AI3" s="58">
        <v>704745.46</v>
      </c>
      <c r="AJ3" s="58">
        <v>720122.84</v>
      </c>
      <c r="AK3" s="58">
        <v>736279.67</v>
      </c>
      <c r="AL3" s="58">
        <v>753183.24</v>
      </c>
      <c r="AM3" s="58">
        <v>770796.33</v>
      </c>
      <c r="AN3" s="58">
        <v>770796.33</v>
      </c>
      <c r="AO3" s="58">
        <v>785475.74</v>
      </c>
      <c r="AP3" s="58">
        <v>801993.97</v>
      </c>
      <c r="AQ3" s="58">
        <v>817161.9</v>
      </c>
      <c r="AR3" s="58">
        <v>832755.82</v>
      </c>
      <c r="AS3" s="58">
        <v>848727.48</v>
      </c>
      <c r="AT3" s="58">
        <v>865028.44</v>
      </c>
      <c r="AU3" s="58">
        <v>881608.91</v>
      </c>
      <c r="AV3" s="58">
        <v>898418.23</v>
      </c>
      <c r="AW3" s="58">
        <v>915409.08</v>
      </c>
      <c r="AX3" s="58">
        <v>932531.28</v>
      </c>
      <c r="AY3" s="58">
        <v>948233.12</v>
      </c>
      <c r="AZ3" s="58">
        <v>963646.21</v>
      </c>
      <c r="BA3" s="58">
        <v>963646.21</v>
      </c>
      <c r="BB3" s="58">
        <v>996062.53</v>
      </c>
      <c r="BC3" s="58">
        <v>1034020.12</v>
      </c>
      <c r="BD3" s="58">
        <v>1066207</v>
      </c>
      <c r="BE3" s="58">
        <v>1099175.76</v>
      </c>
      <c r="BF3" s="58">
        <v>1132910.82</v>
      </c>
      <c r="BG3" s="58">
        <v>1167396.24</v>
      </c>
      <c r="BH3" s="58">
        <v>1202616.5</v>
      </c>
      <c r="BI3" s="58">
        <v>1238555.6000000001</v>
      </c>
      <c r="BJ3" s="58">
        <v>1275203.06</v>
      </c>
      <c r="BK3" s="58">
        <v>1312540.1100000001</v>
      </c>
      <c r="BL3" s="58">
        <v>1348682.49</v>
      </c>
      <c r="BM3" s="58">
        <v>1385487.74</v>
      </c>
      <c r="BN3" s="58">
        <v>1385487.74</v>
      </c>
      <c r="BO3" s="58">
        <v>1426852.39</v>
      </c>
      <c r="BP3" s="58">
        <v>1469761.24</v>
      </c>
      <c r="BQ3" s="58">
        <v>1513362.04</v>
      </c>
      <c r="BR3" s="58">
        <v>1557640.21</v>
      </c>
      <c r="BS3" s="58">
        <v>1602581.23</v>
      </c>
      <c r="BT3" s="58">
        <v>1648175.08</v>
      </c>
      <c r="BU3" s="58">
        <v>1694409.63</v>
      </c>
      <c r="BV3" s="58">
        <v>1741266.76</v>
      </c>
      <c r="BW3" s="58">
        <v>1788737.47</v>
      </c>
      <c r="BX3" s="58">
        <v>1836809.14</v>
      </c>
      <c r="BY3" s="58">
        <v>1885469.13</v>
      </c>
      <c r="BZ3" s="58">
        <v>1934705.33</v>
      </c>
      <c r="CA3" s="58">
        <v>1934705.33</v>
      </c>
      <c r="CB3" s="58">
        <v>1980066.58</v>
      </c>
      <c r="CC3" s="58">
        <v>2026790.33</v>
      </c>
      <c r="CD3" s="58">
        <v>2074060.37</v>
      </c>
      <c r="CE3" s="58">
        <v>2121869.09</v>
      </c>
      <c r="CF3" s="58">
        <v>2170201.8199999998</v>
      </c>
      <c r="CG3" s="58">
        <v>2219050.92</v>
      </c>
      <c r="CH3" s="58">
        <v>2268406.6800000002</v>
      </c>
      <c r="CI3" s="58">
        <v>2318258.4700000002</v>
      </c>
      <c r="CJ3" s="58">
        <v>2367097.77</v>
      </c>
      <c r="CK3" s="58">
        <v>2415100.15</v>
      </c>
      <c r="CL3" s="58">
        <v>2463444.94</v>
      </c>
      <c r="CM3" s="58">
        <v>2512245.98</v>
      </c>
      <c r="CN3" s="58">
        <v>2512245.98</v>
      </c>
      <c r="CO3" s="58">
        <v>2512245.98</v>
      </c>
    </row>
    <row r="4" spans="1:93" ht="14.4" x14ac:dyDescent="0.3">
      <c r="A4" s="56" t="s">
        <v>330</v>
      </c>
      <c r="B4" s="58">
        <v>0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0</v>
      </c>
      <c r="U4" s="58">
        <v>0</v>
      </c>
      <c r="V4" s="58">
        <v>0</v>
      </c>
      <c r="W4" s="58">
        <v>0</v>
      </c>
      <c r="X4" s="58">
        <v>0</v>
      </c>
      <c r="Y4" s="58">
        <v>0</v>
      </c>
      <c r="Z4" s="58">
        <v>0</v>
      </c>
      <c r="AA4" s="58">
        <v>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0</v>
      </c>
      <c r="AW4" s="58">
        <v>0</v>
      </c>
      <c r="AX4" s="58">
        <v>0</v>
      </c>
      <c r="AY4" s="58">
        <v>0</v>
      </c>
      <c r="AZ4" s="58">
        <v>0</v>
      </c>
      <c r="BA4" s="58">
        <v>0</v>
      </c>
      <c r="BB4" s="58">
        <v>0</v>
      </c>
      <c r="BC4" s="58">
        <v>0</v>
      </c>
      <c r="BD4" s="58">
        <v>0</v>
      </c>
      <c r="BE4" s="58">
        <v>0</v>
      </c>
      <c r="BF4" s="58">
        <v>0</v>
      </c>
      <c r="BG4" s="58">
        <v>0</v>
      </c>
      <c r="BH4" s="58">
        <v>0</v>
      </c>
      <c r="BI4" s="58">
        <v>0</v>
      </c>
      <c r="BJ4" s="58">
        <v>0</v>
      </c>
      <c r="BK4" s="58">
        <v>0</v>
      </c>
      <c r="BL4" s="58">
        <v>0</v>
      </c>
      <c r="BM4" s="58">
        <v>0</v>
      </c>
      <c r="BN4" s="58">
        <v>0</v>
      </c>
      <c r="BO4" s="58">
        <v>0</v>
      </c>
      <c r="BP4" s="58">
        <v>0</v>
      </c>
      <c r="BQ4" s="58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0</v>
      </c>
      <c r="BX4" s="58">
        <v>0</v>
      </c>
      <c r="BY4" s="58">
        <v>0</v>
      </c>
      <c r="BZ4" s="58">
        <v>0</v>
      </c>
      <c r="CA4" s="58">
        <v>0</v>
      </c>
      <c r="CB4" s="58">
        <v>0</v>
      </c>
      <c r="CC4" s="58">
        <v>0</v>
      </c>
      <c r="CD4" s="58">
        <v>0</v>
      </c>
      <c r="CE4" s="58">
        <v>0</v>
      </c>
      <c r="CF4" s="58">
        <v>0</v>
      </c>
      <c r="CG4" s="58">
        <v>0</v>
      </c>
      <c r="CH4" s="58">
        <v>0</v>
      </c>
      <c r="CI4" s="58">
        <v>0</v>
      </c>
      <c r="CJ4" s="58">
        <v>0</v>
      </c>
      <c r="CK4" s="58">
        <v>0</v>
      </c>
      <c r="CL4" s="58">
        <v>0</v>
      </c>
      <c r="CM4" s="58">
        <v>0</v>
      </c>
      <c r="CN4" s="58">
        <v>0</v>
      </c>
      <c r="CO4" s="58">
        <v>0</v>
      </c>
    </row>
    <row r="5" spans="1:93" ht="14.4" x14ac:dyDescent="0.3">
      <c r="A5" s="56" t="s">
        <v>331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v>0</v>
      </c>
      <c r="AJ5" s="58">
        <v>0</v>
      </c>
      <c r="AK5" s="58">
        <v>0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8">
        <v>0</v>
      </c>
      <c r="AS5" s="58">
        <v>0</v>
      </c>
      <c r="AT5" s="58">
        <v>0</v>
      </c>
      <c r="AU5" s="58">
        <v>0</v>
      </c>
      <c r="AV5" s="58">
        <v>0</v>
      </c>
      <c r="AW5" s="58">
        <v>0</v>
      </c>
      <c r="AX5" s="58">
        <v>0</v>
      </c>
      <c r="AY5" s="58">
        <v>0</v>
      </c>
      <c r="AZ5" s="58">
        <v>0</v>
      </c>
      <c r="BA5" s="58">
        <v>0</v>
      </c>
      <c r="BB5" s="58">
        <v>0</v>
      </c>
      <c r="BC5" s="58">
        <v>0</v>
      </c>
      <c r="BD5" s="58">
        <v>0</v>
      </c>
      <c r="BE5" s="58">
        <v>0</v>
      </c>
      <c r="BF5" s="58">
        <v>0</v>
      </c>
      <c r="BG5" s="58">
        <v>0</v>
      </c>
      <c r="BH5" s="58">
        <v>0</v>
      </c>
      <c r="BI5" s="58">
        <v>0</v>
      </c>
      <c r="BJ5" s="58">
        <v>0</v>
      </c>
      <c r="BK5" s="58">
        <v>0</v>
      </c>
      <c r="BL5" s="58">
        <v>0</v>
      </c>
      <c r="BM5" s="58">
        <v>0</v>
      </c>
      <c r="BN5" s="58">
        <v>0</v>
      </c>
      <c r="BO5" s="58">
        <v>0</v>
      </c>
      <c r="BP5" s="58">
        <v>0</v>
      </c>
      <c r="BQ5" s="58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0</v>
      </c>
      <c r="BX5" s="58">
        <v>0</v>
      </c>
      <c r="BY5" s="58">
        <v>0</v>
      </c>
      <c r="BZ5" s="58">
        <v>0</v>
      </c>
      <c r="CA5" s="58">
        <v>0</v>
      </c>
      <c r="CB5" s="58">
        <v>0</v>
      </c>
      <c r="CC5" s="58">
        <v>0</v>
      </c>
      <c r="CD5" s="58">
        <v>0</v>
      </c>
      <c r="CE5" s="58">
        <v>0</v>
      </c>
      <c r="CF5" s="58">
        <v>0</v>
      </c>
      <c r="CG5" s="58">
        <v>0</v>
      </c>
      <c r="CH5" s="58">
        <v>0</v>
      </c>
      <c r="CI5" s="58">
        <v>0</v>
      </c>
      <c r="CJ5" s="58">
        <v>0</v>
      </c>
      <c r="CK5" s="58">
        <v>0</v>
      </c>
      <c r="CL5" s="58">
        <v>0</v>
      </c>
      <c r="CM5" s="58">
        <v>0</v>
      </c>
      <c r="CN5" s="58">
        <v>0</v>
      </c>
      <c r="CO5" s="58">
        <v>0</v>
      </c>
    </row>
    <row r="6" spans="1:93" ht="14.4" x14ac:dyDescent="0.3">
      <c r="A6" s="56" t="s">
        <v>332</v>
      </c>
      <c r="B6" s="58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58">
        <v>0</v>
      </c>
      <c r="AZ6" s="58">
        <v>0</v>
      </c>
      <c r="BA6" s="58">
        <v>0</v>
      </c>
      <c r="BB6" s="58">
        <v>0</v>
      </c>
      <c r="BC6" s="58">
        <v>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8">
        <v>0</v>
      </c>
      <c r="BZ6" s="58">
        <v>0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0</v>
      </c>
      <c r="CM6" s="58">
        <v>0</v>
      </c>
      <c r="CN6" s="58">
        <v>0</v>
      </c>
      <c r="CO6" s="58">
        <v>0</v>
      </c>
    </row>
    <row r="7" spans="1:93" ht="14.4" x14ac:dyDescent="0.3">
      <c r="A7" s="56" t="s">
        <v>169</v>
      </c>
    </row>
    <row r="8" spans="1:93" ht="14.4" x14ac:dyDescent="0.3">
      <c r="A8" s="56" t="s">
        <v>333</v>
      </c>
      <c r="B8" s="58">
        <v>9432.2800000000007</v>
      </c>
      <c r="C8" s="58">
        <v>11973.22</v>
      </c>
      <c r="D8" s="58">
        <v>14461.31</v>
      </c>
      <c r="E8" s="58">
        <v>16900.63</v>
      </c>
      <c r="F8" s="58">
        <v>19801.71</v>
      </c>
      <c r="G8" s="58">
        <v>22711.62</v>
      </c>
      <c r="H8" s="58">
        <v>25563.86</v>
      </c>
      <c r="I8" s="58">
        <v>28357.96</v>
      </c>
      <c r="J8" s="58">
        <v>31097.48</v>
      </c>
      <c r="K8" s="58">
        <v>33782.44</v>
      </c>
      <c r="L8" s="58">
        <v>36412.33</v>
      </c>
      <c r="M8" s="58">
        <v>38990.74</v>
      </c>
      <c r="N8" s="58">
        <v>38990.74</v>
      </c>
      <c r="O8" s="58">
        <v>41349.17</v>
      </c>
      <c r="P8" s="58">
        <v>43792.63</v>
      </c>
      <c r="Q8" s="58">
        <v>46188.21</v>
      </c>
      <c r="R8" s="58">
        <v>48536.41</v>
      </c>
      <c r="S8" s="58">
        <v>50836.7</v>
      </c>
      <c r="T8" s="58">
        <v>53089.63</v>
      </c>
      <c r="U8" s="58">
        <v>55297.75</v>
      </c>
      <c r="V8" s="58">
        <v>57461.59</v>
      </c>
      <c r="W8" s="58">
        <v>59584.24</v>
      </c>
      <c r="X8" s="58">
        <v>61662.09</v>
      </c>
      <c r="Y8" s="58">
        <v>63698.73</v>
      </c>
      <c r="Z8" s="58">
        <v>65694.179999999993</v>
      </c>
      <c r="AA8" s="58">
        <v>65694.179999999993</v>
      </c>
      <c r="AB8" s="58">
        <v>66822.509999999995</v>
      </c>
      <c r="AC8" s="58">
        <v>68713.649999999994</v>
      </c>
      <c r="AD8" s="58">
        <v>71004.679999999993</v>
      </c>
      <c r="AE8" s="58">
        <v>72823.199999999997</v>
      </c>
      <c r="AF8" s="58">
        <v>74604.100000000006</v>
      </c>
      <c r="AG8" s="58">
        <v>76350.5</v>
      </c>
      <c r="AH8" s="58">
        <v>78059.28</v>
      </c>
      <c r="AI8" s="58">
        <v>79737.149999999994</v>
      </c>
      <c r="AJ8" s="58">
        <v>81380.009999999995</v>
      </c>
      <c r="AK8" s="58">
        <v>82988.33</v>
      </c>
      <c r="AL8" s="58">
        <v>84565.75</v>
      </c>
      <c r="AM8" s="58">
        <v>86111.73</v>
      </c>
      <c r="AN8" s="58">
        <v>86111.73</v>
      </c>
      <c r="AO8" s="58">
        <v>86429.2</v>
      </c>
      <c r="AP8" s="58">
        <v>87992.55</v>
      </c>
      <c r="AQ8" s="58">
        <v>89427.86</v>
      </c>
      <c r="AR8" s="58">
        <v>90835.85</v>
      </c>
      <c r="AS8" s="58">
        <v>92215.5</v>
      </c>
      <c r="AT8" s="58">
        <v>93567.31</v>
      </c>
      <c r="AU8" s="58">
        <v>94891.31</v>
      </c>
      <c r="AV8" s="58">
        <v>96187.97</v>
      </c>
      <c r="AW8" s="58">
        <v>97459.39</v>
      </c>
      <c r="AX8" s="58">
        <v>98706.08</v>
      </c>
      <c r="AY8" s="58">
        <v>100242.02</v>
      </c>
      <c r="AZ8" s="58">
        <v>101439.23</v>
      </c>
      <c r="BA8" s="58">
        <v>101439.23</v>
      </c>
      <c r="BB8" s="58">
        <v>101298.69</v>
      </c>
      <c r="BC8" s="58">
        <v>109076.97</v>
      </c>
      <c r="BD8" s="58">
        <v>110264.11</v>
      </c>
      <c r="BE8" s="58">
        <v>111428.17</v>
      </c>
      <c r="BF8" s="58">
        <v>112569.59</v>
      </c>
      <c r="BG8" s="58">
        <v>113687.91</v>
      </c>
      <c r="BH8" s="58">
        <v>114783.62</v>
      </c>
      <c r="BI8" s="58">
        <v>115856.72</v>
      </c>
      <c r="BJ8" s="58">
        <v>116910.01</v>
      </c>
      <c r="BK8" s="58">
        <v>117940.2</v>
      </c>
      <c r="BL8" s="58">
        <v>118951.09</v>
      </c>
      <c r="BM8" s="58">
        <v>112706.25</v>
      </c>
      <c r="BN8" s="58">
        <v>112706.25</v>
      </c>
      <c r="BO8" s="58">
        <v>112772.5</v>
      </c>
      <c r="BP8" s="58">
        <v>113657.94</v>
      </c>
      <c r="BQ8" s="58">
        <v>114524.84</v>
      </c>
      <c r="BR8" s="58">
        <v>115373.18</v>
      </c>
      <c r="BS8" s="58">
        <v>116203.96</v>
      </c>
      <c r="BT8" s="58">
        <v>117019.28</v>
      </c>
      <c r="BU8" s="58">
        <v>117819.63</v>
      </c>
      <c r="BV8" s="58">
        <v>118601.43</v>
      </c>
      <c r="BW8" s="58">
        <v>119368.27</v>
      </c>
      <c r="BX8" s="58">
        <v>120120.16</v>
      </c>
      <c r="BY8" s="58">
        <v>120856.58</v>
      </c>
      <c r="BZ8" s="58">
        <v>121578.04</v>
      </c>
      <c r="CA8" s="58">
        <v>121578.04</v>
      </c>
      <c r="CB8" s="58">
        <v>121478.54</v>
      </c>
      <c r="CC8" s="58">
        <v>122167.67</v>
      </c>
      <c r="CD8" s="58">
        <v>122842.34</v>
      </c>
      <c r="CE8" s="58">
        <v>123504.13</v>
      </c>
      <c r="CF8" s="58">
        <v>124151.48</v>
      </c>
      <c r="CG8" s="58">
        <v>124786.45</v>
      </c>
      <c r="CH8" s="58">
        <v>125410.04</v>
      </c>
      <c r="CI8" s="58">
        <v>126020.78</v>
      </c>
      <c r="CJ8" s="58">
        <v>126933.64</v>
      </c>
      <c r="CK8" s="58">
        <v>127644.63</v>
      </c>
      <c r="CL8" s="58">
        <v>128219.75</v>
      </c>
      <c r="CM8" s="58">
        <v>128782.5</v>
      </c>
      <c r="CN8" s="58">
        <v>128782.5</v>
      </c>
      <c r="CO8" s="58">
        <v>128782.5</v>
      </c>
    </row>
    <row r="9" spans="1:93" ht="14.4" x14ac:dyDescent="0.3">
      <c r="A9" s="56" t="s">
        <v>334</v>
      </c>
      <c r="B9" s="58">
        <v>8095</v>
      </c>
      <c r="C9" s="58">
        <v>9325.4</v>
      </c>
      <c r="D9" s="58">
        <v>10529.7</v>
      </c>
      <c r="E9" s="58">
        <v>11710.65</v>
      </c>
      <c r="F9" s="58">
        <v>13378.75</v>
      </c>
      <c r="G9" s="58">
        <v>15079.76</v>
      </c>
      <c r="H9" s="58">
        <v>16747.18</v>
      </c>
      <c r="I9" s="58">
        <v>18380.509999999998</v>
      </c>
      <c r="J9" s="58">
        <v>19982.009999999998</v>
      </c>
      <c r="K9" s="58">
        <v>21551.68</v>
      </c>
      <c r="L9" s="58">
        <v>23089.01</v>
      </c>
      <c r="M9" s="58">
        <v>24596.26</v>
      </c>
      <c r="N9" s="58">
        <v>24596.26</v>
      </c>
      <c r="O9" s="58">
        <v>25904.93</v>
      </c>
      <c r="P9" s="58">
        <v>27320.02</v>
      </c>
      <c r="Q9" s="58">
        <v>28707.29</v>
      </c>
      <c r="R9" s="58">
        <v>30067.23</v>
      </c>
      <c r="S9" s="58">
        <v>31399.34</v>
      </c>
      <c r="T9" s="58">
        <v>32704.13</v>
      </c>
      <c r="U9" s="58">
        <v>33982.85</v>
      </c>
      <c r="V9" s="58">
        <v>35236</v>
      </c>
      <c r="W9" s="58">
        <v>36465.339999999997</v>
      </c>
      <c r="X9" s="58">
        <v>37668.61</v>
      </c>
      <c r="Y9" s="58">
        <v>38848.06</v>
      </c>
      <c r="Z9" s="58">
        <v>40003.69</v>
      </c>
      <c r="AA9" s="58">
        <v>40003.69</v>
      </c>
      <c r="AB9" s="58">
        <v>40308.26</v>
      </c>
      <c r="AC9" s="58">
        <v>41393.019999999997</v>
      </c>
      <c r="AD9" s="58">
        <v>42893.72</v>
      </c>
      <c r="AE9" s="58">
        <v>43936.61</v>
      </c>
      <c r="AF9" s="58">
        <v>44957.94</v>
      </c>
      <c r="AG9" s="58">
        <v>45959.47</v>
      </c>
      <c r="AH9" s="58">
        <v>46939.44</v>
      </c>
      <c r="AI9" s="58">
        <v>47901.86</v>
      </c>
      <c r="AJ9" s="58">
        <v>48843.98</v>
      </c>
      <c r="AK9" s="58">
        <v>49766.29</v>
      </c>
      <c r="AL9" s="58">
        <v>50671.05</v>
      </c>
      <c r="AM9" s="58">
        <v>51557.760000000002</v>
      </c>
      <c r="AN9" s="58">
        <v>51557.760000000002</v>
      </c>
      <c r="AO9" s="58">
        <v>51229.32</v>
      </c>
      <c r="AP9" s="58">
        <v>52158.79</v>
      </c>
      <c r="AQ9" s="58">
        <v>52973.61</v>
      </c>
      <c r="AR9" s="58">
        <v>53773.13</v>
      </c>
      <c r="AS9" s="58">
        <v>54556.35</v>
      </c>
      <c r="AT9" s="58">
        <v>55323.78</v>
      </c>
      <c r="AU9" s="58">
        <v>56075.42</v>
      </c>
      <c r="AV9" s="58">
        <v>56811.76</v>
      </c>
      <c r="AW9" s="58">
        <v>57533.56</v>
      </c>
      <c r="AX9" s="58">
        <v>58241.32</v>
      </c>
      <c r="AY9" s="58">
        <v>59249.04</v>
      </c>
      <c r="AZ9" s="58">
        <v>59928.72</v>
      </c>
      <c r="BA9" s="58">
        <v>59928.72</v>
      </c>
      <c r="BB9" s="58">
        <v>59281.36</v>
      </c>
      <c r="BC9" s="58">
        <v>66562.16</v>
      </c>
      <c r="BD9" s="58">
        <v>67262.539999999994</v>
      </c>
      <c r="BE9" s="58">
        <v>67949.179999999993</v>
      </c>
      <c r="BF9" s="58">
        <v>68622.559999999998</v>
      </c>
      <c r="BG9" s="58">
        <v>69282.19</v>
      </c>
      <c r="BH9" s="58">
        <v>69928.570000000007</v>
      </c>
      <c r="BI9" s="58">
        <v>70561.710000000006</v>
      </c>
      <c r="BJ9" s="58">
        <v>71183.06</v>
      </c>
      <c r="BK9" s="58">
        <v>71790.67</v>
      </c>
      <c r="BL9" s="58">
        <v>72387</v>
      </c>
      <c r="BM9" s="58">
        <v>65735.63</v>
      </c>
      <c r="BN9" s="58">
        <v>65735.63</v>
      </c>
      <c r="BO9" s="58">
        <v>65403.37</v>
      </c>
      <c r="BP9" s="58">
        <v>65898.33</v>
      </c>
      <c r="BQ9" s="58">
        <v>66382.759999999995</v>
      </c>
      <c r="BR9" s="58">
        <v>66856.66</v>
      </c>
      <c r="BS9" s="58">
        <v>67321.03</v>
      </c>
      <c r="BT9" s="58">
        <v>67776.62</v>
      </c>
      <c r="BU9" s="58">
        <v>68223.929999999993</v>
      </c>
      <c r="BV9" s="58">
        <v>68660.710000000006</v>
      </c>
      <c r="BW9" s="58">
        <v>69089.22</v>
      </c>
      <c r="BX9" s="58">
        <v>69509.460000000006</v>
      </c>
      <c r="BY9" s="58">
        <v>69920.929999999993</v>
      </c>
      <c r="BZ9" s="58">
        <v>70324.11</v>
      </c>
      <c r="CA9" s="58">
        <v>70324.11</v>
      </c>
      <c r="CB9" s="58">
        <v>69913.03</v>
      </c>
      <c r="CC9" s="58">
        <v>70295.92</v>
      </c>
      <c r="CD9" s="58">
        <v>70671.03</v>
      </c>
      <c r="CE9" s="58">
        <v>71038.63</v>
      </c>
      <c r="CF9" s="58">
        <v>71398.460000000006</v>
      </c>
      <c r="CG9" s="58">
        <v>71751.259999999995</v>
      </c>
      <c r="CH9" s="58">
        <v>72098.039999999994</v>
      </c>
      <c r="CI9" s="58">
        <v>72437.31</v>
      </c>
      <c r="CJ9" s="58">
        <v>73084.05</v>
      </c>
      <c r="CK9" s="58">
        <v>73534.27</v>
      </c>
      <c r="CL9" s="58">
        <v>73853.97</v>
      </c>
      <c r="CM9" s="58">
        <v>74166.649999999994</v>
      </c>
      <c r="CN9" s="58">
        <v>74166.649999999994</v>
      </c>
      <c r="CO9" s="58">
        <v>74166.649999999994</v>
      </c>
    </row>
    <row r="10" spans="1:93" ht="14.4" x14ac:dyDescent="0.3">
      <c r="A10" s="56" t="s">
        <v>309</v>
      </c>
      <c r="B10" s="58">
        <v>0</v>
      </c>
      <c r="C10" s="58">
        <v>0</v>
      </c>
      <c r="D10" s="58">
        <v>0</v>
      </c>
      <c r="E10" s="58">
        <v>0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>
        <v>0</v>
      </c>
      <c r="AK10" s="58">
        <v>0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58">
        <v>0</v>
      </c>
      <c r="AW10" s="58">
        <v>0</v>
      </c>
      <c r="AX10" s="58">
        <v>0</v>
      </c>
      <c r="AY10" s="58">
        <v>0</v>
      </c>
      <c r="AZ10" s="58">
        <v>0</v>
      </c>
      <c r="BA10" s="58">
        <v>0</v>
      </c>
      <c r="BB10" s="58">
        <v>0</v>
      </c>
      <c r="BC10" s="58">
        <v>0</v>
      </c>
      <c r="BD10" s="58">
        <v>0</v>
      </c>
      <c r="BE10" s="58">
        <v>0</v>
      </c>
      <c r="BF10" s="58">
        <v>0</v>
      </c>
      <c r="BG10" s="58">
        <v>0</v>
      </c>
      <c r="BH10" s="58">
        <v>0</v>
      </c>
      <c r="BI10" s="58">
        <v>0</v>
      </c>
      <c r="BJ10" s="58">
        <v>0</v>
      </c>
      <c r="BK10" s="58">
        <v>0</v>
      </c>
      <c r="BL10" s="58">
        <v>0</v>
      </c>
      <c r="BM10" s="58">
        <v>0</v>
      </c>
      <c r="BN10" s="58">
        <v>0</v>
      </c>
      <c r="BO10" s="58">
        <v>0</v>
      </c>
      <c r="BP10" s="58">
        <v>0</v>
      </c>
      <c r="BQ10" s="58">
        <v>0</v>
      </c>
      <c r="BR10" s="58">
        <v>0</v>
      </c>
      <c r="BS10" s="58">
        <v>0</v>
      </c>
      <c r="BT10" s="58">
        <v>0</v>
      </c>
      <c r="BU10" s="58">
        <v>0</v>
      </c>
      <c r="BV10" s="58">
        <v>0</v>
      </c>
      <c r="BW10" s="58">
        <v>0</v>
      </c>
      <c r="BX10" s="58">
        <v>0</v>
      </c>
      <c r="BY10" s="58">
        <v>0</v>
      </c>
      <c r="BZ10" s="58">
        <v>0</v>
      </c>
      <c r="CA10" s="58">
        <v>0</v>
      </c>
      <c r="CB10" s="58">
        <v>0</v>
      </c>
      <c r="CC10" s="58">
        <v>0</v>
      </c>
      <c r="CD10" s="58">
        <v>0</v>
      </c>
      <c r="CE10" s="58">
        <v>0</v>
      </c>
      <c r="CF10" s="58">
        <v>0</v>
      </c>
      <c r="CG10" s="58">
        <v>0</v>
      </c>
      <c r="CH10" s="58">
        <v>0</v>
      </c>
      <c r="CI10" s="58">
        <v>0</v>
      </c>
      <c r="CJ10" s="58">
        <v>0</v>
      </c>
      <c r="CK10" s="58">
        <v>0</v>
      </c>
      <c r="CL10" s="58">
        <v>0</v>
      </c>
      <c r="CM10" s="58">
        <v>0</v>
      </c>
      <c r="CN10" s="58">
        <v>0</v>
      </c>
      <c r="CO10" s="58">
        <v>0</v>
      </c>
    </row>
    <row r="11" spans="1:93" ht="14.4" x14ac:dyDescent="0.3">
      <c r="A11" s="56" t="s">
        <v>314</v>
      </c>
      <c r="B11" s="58">
        <v>1337.28</v>
      </c>
      <c r="C11" s="58">
        <v>2647.82</v>
      </c>
      <c r="D11" s="58">
        <v>3931.61</v>
      </c>
      <c r="E11" s="58">
        <v>5189.9799999999996</v>
      </c>
      <c r="F11" s="58">
        <v>6422.96</v>
      </c>
      <c r="G11" s="58">
        <v>7631.86</v>
      </c>
      <c r="H11" s="58">
        <v>8816.68</v>
      </c>
      <c r="I11" s="58">
        <v>9977.4500000000007</v>
      </c>
      <c r="J11" s="58">
        <v>11115.47</v>
      </c>
      <c r="K11" s="58">
        <v>12230.76</v>
      </c>
      <c r="L11" s="58">
        <v>13323.32</v>
      </c>
      <c r="M11" s="58">
        <v>14394.48</v>
      </c>
      <c r="N11" s="58">
        <v>14394.48</v>
      </c>
      <c r="O11" s="58">
        <v>15444.24</v>
      </c>
      <c r="P11" s="58">
        <v>16472.61</v>
      </c>
      <c r="Q11" s="58">
        <v>17480.919999999998</v>
      </c>
      <c r="R11" s="58">
        <v>18469.18</v>
      </c>
      <c r="S11" s="58">
        <v>19437.36</v>
      </c>
      <c r="T11" s="58">
        <v>20385.5</v>
      </c>
      <c r="U11" s="58">
        <v>21314.9</v>
      </c>
      <c r="V11" s="58">
        <v>22225.59</v>
      </c>
      <c r="W11" s="58">
        <v>23118.9</v>
      </c>
      <c r="X11" s="58">
        <v>23993.48</v>
      </c>
      <c r="Y11" s="58">
        <v>24850.67</v>
      </c>
      <c r="Z11" s="58">
        <v>25690.49</v>
      </c>
      <c r="AA11" s="58">
        <v>25690.49</v>
      </c>
      <c r="AB11" s="58">
        <v>26514.25</v>
      </c>
      <c r="AC11" s="58">
        <v>27320.63</v>
      </c>
      <c r="AD11" s="58">
        <v>28110.959999999999</v>
      </c>
      <c r="AE11" s="58">
        <v>28886.59</v>
      </c>
      <c r="AF11" s="58">
        <v>29646.16</v>
      </c>
      <c r="AG11" s="58">
        <v>30391.03</v>
      </c>
      <c r="AH11" s="58">
        <v>31119.84</v>
      </c>
      <c r="AI11" s="58">
        <v>31835.29</v>
      </c>
      <c r="AJ11" s="58">
        <v>32536.03</v>
      </c>
      <c r="AK11" s="58">
        <v>33222.04</v>
      </c>
      <c r="AL11" s="58">
        <v>33894.699999999997</v>
      </c>
      <c r="AM11" s="58">
        <v>34553.97</v>
      </c>
      <c r="AN11" s="58">
        <v>34553.97</v>
      </c>
      <c r="AO11" s="58">
        <v>35199.879999999997</v>
      </c>
      <c r="AP11" s="58">
        <v>35833.760000000002</v>
      </c>
      <c r="AQ11" s="58">
        <v>36454.25</v>
      </c>
      <c r="AR11" s="58">
        <v>37062.720000000001</v>
      </c>
      <c r="AS11" s="58">
        <v>37659.15</v>
      </c>
      <c r="AT11" s="58">
        <v>38243.53</v>
      </c>
      <c r="AU11" s="58">
        <v>38815.89</v>
      </c>
      <c r="AV11" s="58">
        <v>39376.21</v>
      </c>
      <c r="AW11" s="58">
        <v>39925.83</v>
      </c>
      <c r="AX11" s="58">
        <v>40464.76</v>
      </c>
      <c r="AY11" s="58">
        <v>40992.980000000003</v>
      </c>
      <c r="AZ11" s="58">
        <v>41510.51</v>
      </c>
      <c r="BA11" s="58">
        <v>41510.51</v>
      </c>
      <c r="BB11" s="58">
        <v>42017.33</v>
      </c>
      <c r="BC11" s="58">
        <v>42514.81</v>
      </c>
      <c r="BD11" s="58">
        <v>43001.57</v>
      </c>
      <c r="BE11" s="58">
        <v>43478.99</v>
      </c>
      <c r="BF11" s="58">
        <v>43947.03</v>
      </c>
      <c r="BG11" s="58">
        <v>44405.72</v>
      </c>
      <c r="BH11" s="58">
        <v>44855.05</v>
      </c>
      <c r="BI11" s="58">
        <v>45295.01</v>
      </c>
      <c r="BJ11" s="58">
        <v>45726.95</v>
      </c>
      <c r="BK11" s="58">
        <v>46149.53</v>
      </c>
      <c r="BL11" s="58">
        <v>46564.09</v>
      </c>
      <c r="BM11" s="58">
        <v>46970.62</v>
      </c>
      <c r="BN11" s="58">
        <v>46970.62</v>
      </c>
      <c r="BO11" s="58">
        <v>47369.13</v>
      </c>
      <c r="BP11" s="58">
        <v>47759.61</v>
      </c>
      <c r="BQ11" s="58">
        <v>48142.080000000002</v>
      </c>
      <c r="BR11" s="58">
        <v>48516.52</v>
      </c>
      <c r="BS11" s="58">
        <v>48882.93</v>
      </c>
      <c r="BT11" s="58">
        <v>49242.66</v>
      </c>
      <c r="BU11" s="58">
        <v>49595.7</v>
      </c>
      <c r="BV11" s="58">
        <v>49940.72</v>
      </c>
      <c r="BW11" s="58">
        <v>50279.05</v>
      </c>
      <c r="BX11" s="58">
        <v>50610.7</v>
      </c>
      <c r="BY11" s="58">
        <v>50935.65</v>
      </c>
      <c r="BZ11" s="58">
        <v>51253.93</v>
      </c>
      <c r="CA11" s="58">
        <v>51253.93</v>
      </c>
      <c r="CB11" s="58">
        <v>51565.51</v>
      </c>
      <c r="CC11" s="58">
        <v>51871.75</v>
      </c>
      <c r="CD11" s="58">
        <v>52171.31</v>
      </c>
      <c r="CE11" s="58">
        <v>52465.5</v>
      </c>
      <c r="CF11" s="58">
        <v>52753.02</v>
      </c>
      <c r="CG11" s="58">
        <v>53035.19</v>
      </c>
      <c r="CH11" s="58">
        <v>53312</v>
      </c>
      <c r="CI11" s="58">
        <v>53583.47</v>
      </c>
      <c r="CJ11" s="58">
        <v>53849.59</v>
      </c>
      <c r="CK11" s="58">
        <v>54110.36</v>
      </c>
      <c r="CL11" s="58">
        <v>54365.78</v>
      </c>
      <c r="CM11" s="58">
        <v>54615.85</v>
      </c>
      <c r="CN11" s="58">
        <v>54615.85</v>
      </c>
      <c r="CO11" s="58">
        <v>54615.85</v>
      </c>
    </row>
    <row r="12" spans="1:93" ht="14.4" x14ac:dyDescent="0.3">
      <c r="A12" s="56" t="s">
        <v>265</v>
      </c>
      <c r="B12" s="58">
        <v>0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  <c r="AI12" s="58">
        <v>0</v>
      </c>
      <c r="AJ12" s="58">
        <v>0</v>
      </c>
      <c r="AK12" s="58">
        <v>0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58">
        <v>0</v>
      </c>
      <c r="AS12" s="58">
        <v>0</v>
      </c>
      <c r="AT12" s="58">
        <v>0</v>
      </c>
      <c r="AU12" s="58">
        <v>0</v>
      </c>
      <c r="AV12" s="58">
        <v>0</v>
      </c>
      <c r="AW12" s="58">
        <v>0</v>
      </c>
      <c r="AX12" s="58">
        <v>0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  <c r="BD12" s="58">
        <v>0</v>
      </c>
      <c r="BE12" s="58">
        <v>0</v>
      </c>
      <c r="BF12" s="58">
        <v>0</v>
      </c>
      <c r="BG12" s="58">
        <v>0</v>
      </c>
      <c r="BH12" s="58">
        <v>0</v>
      </c>
      <c r="BI12" s="58">
        <v>0</v>
      </c>
      <c r="BJ12" s="58">
        <v>0</v>
      </c>
      <c r="BK12" s="58">
        <v>0</v>
      </c>
      <c r="BL12" s="58">
        <v>0</v>
      </c>
      <c r="BM12" s="58">
        <v>0</v>
      </c>
      <c r="BN12" s="58">
        <v>0</v>
      </c>
      <c r="BO12" s="58">
        <v>0</v>
      </c>
      <c r="BP12" s="58">
        <v>0</v>
      </c>
      <c r="BQ12" s="58">
        <v>0</v>
      </c>
      <c r="BR12" s="58">
        <v>0</v>
      </c>
      <c r="BS12" s="58">
        <v>0</v>
      </c>
      <c r="BT12" s="58">
        <v>0</v>
      </c>
      <c r="BU12" s="58">
        <v>0</v>
      </c>
      <c r="BV12" s="58">
        <v>0</v>
      </c>
      <c r="BW12" s="58">
        <v>0</v>
      </c>
      <c r="BX12" s="58">
        <v>0</v>
      </c>
      <c r="BY12" s="58">
        <v>0</v>
      </c>
      <c r="BZ12" s="58">
        <v>0</v>
      </c>
      <c r="CA12" s="58">
        <v>0</v>
      </c>
      <c r="CB12" s="58">
        <v>0</v>
      </c>
      <c r="CC12" s="58">
        <v>0</v>
      </c>
      <c r="CD12" s="58">
        <v>0</v>
      </c>
      <c r="CE12" s="58">
        <v>0</v>
      </c>
      <c r="CF12" s="58">
        <v>0</v>
      </c>
      <c r="CG12" s="58">
        <v>0</v>
      </c>
      <c r="CH12" s="58">
        <v>0</v>
      </c>
      <c r="CI12" s="58">
        <v>0</v>
      </c>
      <c r="CJ12" s="58">
        <v>0</v>
      </c>
      <c r="CK12" s="58">
        <v>0</v>
      </c>
      <c r="CL12" s="58">
        <v>0</v>
      </c>
      <c r="CM12" s="58">
        <v>0</v>
      </c>
      <c r="CN12" s="58">
        <v>0</v>
      </c>
      <c r="CO12" s="58">
        <v>0</v>
      </c>
    </row>
    <row r="13" spans="1:93" ht="14.4" x14ac:dyDescent="0.3">
      <c r="A13" s="56" t="s">
        <v>169</v>
      </c>
    </row>
    <row r="14" spans="1:93" ht="14.4" x14ac:dyDescent="0.3">
      <c r="A14" s="56" t="s">
        <v>335</v>
      </c>
      <c r="B14" s="58">
        <v>-2140.9499999999998</v>
      </c>
      <c r="C14" s="58">
        <v>1030.24</v>
      </c>
      <c r="D14" s="58">
        <v>9396.52</v>
      </c>
      <c r="E14" s="58">
        <v>22847.03</v>
      </c>
      <c r="F14" s="58">
        <v>40242.39</v>
      </c>
      <c r="G14" s="58">
        <v>61375.54</v>
      </c>
      <c r="H14" s="58">
        <v>85164.03</v>
      </c>
      <c r="I14" s="58">
        <v>112532.31</v>
      </c>
      <c r="J14" s="58">
        <v>143403.20000000001</v>
      </c>
      <c r="K14" s="58">
        <v>177680.74</v>
      </c>
      <c r="L14" s="58">
        <v>215276.22</v>
      </c>
      <c r="M14" s="58">
        <v>256112.32</v>
      </c>
      <c r="N14" s="58">
        <v>256112.32</v>
      </c>
      <c r="O14" s="58">
        <v>287546.49</v>
      </c>
      <c r="P14" s="58">
        <v>313474.28999999998</v>
      </c>
      <c r="Q14" s="58">
        <v>340766.41</v>
      </c>
      <c r="R14" s="58">
        <v>369359.48</v>
      </c>
      <c r="S14" s="58">
        <v>399254.21</v>
      </c>
      <c r="T14" s="58">
        <v>430391.82</v>
      </c>
      <c r="U14" s="58">
        <v>462714.83</v>
      </c>
      <c r="V14" s="58">
        <v>496241.74</v>
      </c>
      <c r="W14" s="58">
        <v>505922.8</v>
      </c>
      <c r="X14" s="58">
        <v>516705.1</v>
      </c>
      <c r="Y14" s="58">
        <v>528536.85</v>
      </c>
      <c r="Z14" s="58">
        <v>541459.43000000005</v>
      </c>
      <c r="AA14" s="58">
        <v>541459.43000000005</v>
      </c>
      <c r="AB14" s="58">
        <v>550778.04</v>
      </c>
      <c r="AC14" s="58">
        <v>561122.98</v>
      </c>
      <c r="AD14" s="58">
        <v>569513.02</v>
      </c>
      <c r="AE14" s="58">
        <v>578841.73</v>
      </c>
      <c r="AF14" s="58">
        <v>589062.96</v>
      </c>
      <c r="AG14" s="58">
        <v>600132.14</v>
      </c>
      <c r="AH14" s="58">
        <v>612125.63</v>
      </c>
      <c r="AI14" s="58">
        <v>625008.31000000006</v>
      </c>
      <c r="AJ14" s="58">
        <v>638742.82999999996</v>
      </c>
      <c r="AK14" s="58">
        <v>653291.34</v>
      </c>
      <c r="AL14" s="58">
        <v>668617.49</v>
      </c>
      <c r="AM14" s="58">
        <v>684684.6</v>
      </c>
      <c r="AN14" s="58">
        <v>684684.6</v>
      </c>
      <c r="AO14" s="58">
        <v>699046.54</v>
      </c>
      <c r="AP14" s="58">
        <v>714001.42</v>
      </c>
      <c r="AQ14" s="58">
        <v>727734.04</v>
      </c>
      <c r="AR14" s="58">
        <v>741919.97</v>
      </c>
      <c r="AS14" s="58">
        <v>756511.98</v>
      </c>
      <c r="AT14" s="58">
        <v>771461.13</v>
      </c>
      <c r="AU14" s="58">
        <v>786717.6</v>
      </c>
      <c r="AV14" s="58">
        <v>802230.26</v>
      </c>
      <c r="AW14" s="58">
        <v>817949.69</v>
      </c>
      <c r="AX14" s="58">
        <v>833825.2</v>
      </c>
      <c r="AY14" s="58">
        <v>847991.1</v>
      </c>
      <c r="AZ14" s="58">
        <v>862206.98</v>
      </c>
      <c r="BA14" s="58">
        <v>862206.98</v>
      </c>
      <c r="BB14" s="58">
        <v>894763.84</v>
      </c>
      <c r="BC14" s="58">
        <v>924943.15</v>
      </c>
      <c r="BD14" s="58">
        <v>955942.89</v>
      </c>
      <c r="BE14" s="58">
        <v>987747.59</v>
      </c>
      <c r="BF14" s="58">
        <v>1020341.23</v>
      </c>
      <c r="BG14" s="58">
        <v>1053708.33</v>
      </c>
      <c r="BH14" s="58">
        <v>1087832.8799999999</v>
      </c>
      <c r="BI14" s="58">
        <v>1122698.8799999999</v>
      </c>
      <c r="BJ14" s="58">
        <v>1158293.05</v>
      </c>
      <c r="BK14" s="58">
        <v>1194599.9099999999</v>
      </c>
      <c r="BL14" s="58">
        <v>1229731.3999999999</v>
      </c>
      <c r="BM14" s="58">
        <v>1272781.49</v>
      </c>
      <c r="BN14" s="58">
        <v>1272781.49</v>
      </c>
      <c r="BO14" s="58">
        <v>1314079.8899999999</v>
      </c>
      <c r="BP14" s="58">
        <v>1356103.3</v>
      </c>
      <c r="BQ14" s="58">
        <v>1398837.2</v>
      </c>
      <c r="BR14" s="58">
        <v>1442267.03</v>
      </c>
      <c r="BS14" s="58">
        <v>1486377.27</v>
      </c>
      <c r="BT14" s="58">
        <v>1531155.8</v>
      </c>
      <c r="BU14" s="58">
        <v>1576590</v>
      </c>
      <c r="BV14" s="58">
        <v>1622665.33</v>
      </c>
      <c r="BW14" s="58">
        <v>1669369.2</v>
      </c>
      <c r="BX14" s="58">
        <v>1716688.98</v>
      </c>
      <c r="BY14" s="58">
        <v>1764612.55</v>
      </c>
      <c r="BZ14" s="58">
        <v>1813127.29</v>
      </c>
      <c r="CA14" s="58">
        <v>1813127.29</v>
      </c>
      <c r="CB14" s="58">
        <v>1858588.04</v>
      </c>
      <c r="CC14" s="58">
        <v>1904622.66</v>
      </c>
      <c r="CD14" s="58">
        <v>1951218.03</v>
      </c>
      <c r="CE14" s="58">
        <v>1998364.96</v>
      </c>
      <c r="CF14" s="58">
        <v>2046050.34</v>
      </c>
      <c r="CG14" s="58">
        <v>2094264.47</v>
      </c>
      <c r="CH14" s="58">
        <v>2142996.64</v>
      </c>
      <c r="CI14" s="58">
        <v>2192237.69</v>
      </c>
      <c r="CJ14" s="58">
        <v>2240164.13</v>
      </c>
      <c r="CK14" s="58">
        <v>2287455.52</v>
      </c>
      <c r="CL14" s="58">
        <v>2335225.19</v>
      </c>
      <c r="CM14" s="58">
        <v>2383463.48</v>
      </c>
      <c r="CN14" s="58">
        <v>2383463.48</v>
      </c>
      <c r="CO14" s="58">
        <v>2383463.48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2026</vt:lpstr>
      <vt:lpstr>2027</vt:lpstr>
      <vt:lpstr>2028</vt:lpstr>
      <vt:lpstr>2029</vt:lpstr>
      <vt:lpstr>2030</vt:lpstr>
      <vt:lpstr>Total</vt:lpstr>
      <vt:lpstr>Dados</vt:lpstr>
      <vt:lpstr>Simulador Tributario</vt:lpstr>
      <vt:lpstr>Valores - Balanço Patrimonial</vt:lpstr>
      <vt:lpstr>Valores - Fluxo de caixa</vt:lpstr>
      <vt:lpstr>Valores - Empatar</vt:lpstr>
      <vt:lpstr>Valores - Análise de Razão</vt:lpstr>
      <vt:lpstr>Valores - Financiamento</vt:lpstr>
      <vt:lpstr>Valores - Ativos</vt:lpstr>
      <vt:lpstr>Valores - Dividendo</vt:lpstr>
      <vt:lpstr>Valores - Contas a receber</vt:lpstr>
      <vt:lpstr>Valores - Contas a pagar</vt:lpstr>
      <vt:lpstr>Valores - Imposto de Renda</vt:lpstr>
      <vt:lpstr>Valores - Sales Tax</vt:lpstr>
      <vt:lpstr>Valores - Inventário</vt:lpstr>
      <vt:lpstr>Valores - Capital de giro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Luvisoto Filho</dc:creator>
  <cp:lastModifiedBy>Paulo Luvisoto Filho</cp:lastModifiedBy>
  <dcterms:created xsi:type="dcterms:W3CDTF">2026-01-05T15:51:04Z</dcterms:created>
  <dcterms:modified xsi:type="dcterms:W3CDTF">2026-02-06T22:39:45Z</dcterms:modified>
</cp:coreProperties>
</file>